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icio" sheetId="1" r:id="rId4"/>
    <sheet state="visible" name="🌊 Costa" sheetId="2" r:id="rId5"/>
    <sheet state="visible" name="⛰️ Sierra" sheetId="3" r:id="rId6"/>
    <sheet state="visible" name="🌿 Amazonía" sheetId="4" r:id="rId7"/>
    <sheet state="visible" name="🛣️ Ruta Q-G" sheetId="5" r:id="rId8"/>
    <sheet state="visible" name="➕ Reportar Punto" sheetId="6" r:id="rId9"/>
  </sheets>
  <definedNames/>
  <calcPr/>
  <extLst>
    <ext uri="GoogleSheetsCustomDataVersion2">
      <go:sheetsCustomData xmlns:go="http://customooxmlschemas.google.com/" r:id="rId10" roundtripDataChecksum="yTPa9zBW4vnzmrkoMrxJoB6hox7F/jeP4J1avJ8JZoE="/>
    </ext>
  </extLst>
</workbook>
</file>

<file path=xl/sharedStrings.xml><?xml version="1.0" encoding="utf-8"?>
<sst xmlns="http://schemas.openxmlformats.org/spreadsheetml/2006/main" count="1484" uniqueCount="505">
  <si>
    <t>⚡ EVEcuador — Mapa de Puntos de Carga</t>
  </si>
  <si>
    <t>Comunidad Eléctrica Multimarca del Ecuador — Actualizado Abril 2026</t>
  </si>
  <si>
    <t>🟢 LEYENDA — VELOCIDAD DE CARGA</t>
  </si>
  <si>
    <t>🟢  ELECTROLINERA RÁPIDA</t>
  </si>
  <si>
    <t>+40kW CS2/CCS — Ideal para viajes largos. Carga del 20%-80% en 30-45 min.</t>
  </si>
  <si>
    <t>🟡  CARGA NORMAL</t>
  </si>
  <si>
    <t>7kW Tipo 2 / Pared — Carga completa en 8-10 horas. Ideal para pernoctar.</t>
  </si>
  <si>
    <t>🔴  CARGA LENTA</t>
  </si>
  <si>
    <t>1.5-3.5kW 110V/Tipo Chino — Solo para emergencias. Muy lento — evitar si hay otra opción.</t>
  </si>
  <si>
    <t>⚫  PUNTO PRIVADO BYD</t>
  </si>
  <si>
    <t>Solo miembros comunidad BYD — Requiere agendar con anticipación. No accesible para todos.</t>
  </si>
  <si>
    <t>⚠️ CONSEJOS ESENCIALES ANTES DE SALIR</t>
  </si>
  <si>
    <t>1. Lleva SIEMPRE tu cargador portátil en el auto — es tu seguro de vida en ruta.</t>
  </si>
  <si>
    <t>2. Lleva una extensión mínimo 5 metros: calibre 3x8AWG (7kW) o 3x10AWG (3.5kW).</t>
  </si>
  <si>
    <t>3. Lleva adaptadores: 220V pata de gallina → tu conector portátil / 220V tipo chino → 110V / pata de gallina pequeña → 110V.</t>
  </si>
  <si>
    <t>4. Verifica el horario ANTES de llegar — muchos puntos dicen 'tarde' sin hora exacta. Llama primero.</t>
  </si>
  <si>
    <t>5. Los puntos marcados como PROXIMAMENTE aún no están operativos — no los cuentes para tu ruta.</t>
  </si>
  <si>
    <t>6. En rutas largas planifica con al menos 2 opciones de carga — siempre ten un plan B.</t>
  </si>
  <si>
    <t>📊 RESUMEN DEL MAPA</t>
  </si>
  <si>
    <t>Total puntos de carga</t>
  </si>
  <si>
    <t>Electrolineras rápidas (+40kW)</t>
  </si>
  <si>
    <t>Puntos normales 7kW</t>
  </si>
  <si>
    <t>Puntos lentos / emergencia</t>
  </si>
  <si>
    <t>Última actualización</t>
  </si>
  <si>
    <t>Abril 2026</t>
  </si>
  <si>
    <t>EVEcuador ⚡ — Puntos de Carga 🌊 Costa</t>
  </si>
  <si>
    <t>#</t>
  </si>
  <si>
    <t>PROVINCIA</t>
  </si>
  <si>
    <t>CANTÓN / CIUDAD</t>
  </si>
  <si>
    <t>NOMBRE DEL PUNTO</t>
  </si>
  <si>
    <t>VELOCIDAD</t>
  </si>
  <si>
    <t>TIPO DE CARGADOR</t>
  </si>
  <si>
    <t>POTENCIA</t>
  </si>
  <si>
    <t>HORARIO</t>
  </si>
  <si>
    <t>COSTO</t>
  </si>
  <si>
    <t>ENLACE GPS</t>
  </si>
  <si>
    <t>Esmeraldas</t>
  </si>
  <si>
    <t>La Unión</t>
  </si>
  <si>
    <t>Lubricentro Brito</t>
  </si>
  <si>
    <t>🟡 NORMAL</t>
  </si>
  <si>
    <t>220V 32A Pata Gallina</t>
  </si>
  <si>
    <t>7kW</t>
  </si>
  <si>
    <t>24/7</t>
  </si>
  <si>
    <t>Gratuito*</t>
  </si>
  <si>
    <t>https://maps.app.goo.gl/F2TgyEFGJw1hRH716</t>
  </si>
  <si>
    <t>La Concordia</t>
  </si>
  <si>
    <t>Ultra NRG Gasolinera Multiservicios</t>
  </si>
  <si>
    <t>Tipo 2 Pared</t>
  </si>
  <si>
    <t>Consultar</t>
  </si>
  <si>
    <t>https://maps.app.goo.gl/utE8PqRRsRtekjDk8</t>
  </si>
  <si>
    <t>San Mateo</t>
  </si>
  <si>
    <t>Gasolinera P&amp;S San Mateo</t>
  </si>
  <si>
    <t>https://maps.app.goo.gl/kcio9fEoDLdSW3Xh8</t>
  </si>
  <si>
    <t>Tonsupa</t>
  </si>
  <si>
    <t>Castelnuovo</t>
  </si>
  <si>
    <t>Tarde</t>
  </si>
  <si>
    <t>https://maps.app.goo.gl/qAU3nMLdvvS6VLX48</t>
  </si>
  <si>
    <t>Salima</t>
  </si>
  <si>
    <t>Gasolinera PetroRíos San Luis</t>
  </si>
  <si>
    <t>https://maps.app.goo.gl/cfFQ58fbrtWs4LgT7</t>
  </si>
  <si>
    <t>Atacames</t>
  </si>
  <si>
    <t>Taller Don Milton</t>
  </si>
  <si>
    <t>https://maps.app.goo.gl/ANeMBL7UeQ51kqJv5</t>
  </si>
  <si>
    <t>Santo Domingo</t>
  </si>
  <si>
    <t>KFC Santo Domingo — EVINKA CONECT</t>
  </si>
  <si>
    <t>🟢 RÁPIDA</t>
  </si>
  <si>
    <t>Tipo 2 + CS2</t>
  </si>
  <si>
    <t>7kW / 60kW</t>
  </si>
  <si>
    <t>Pago</t>
  </si>
  <si>
    <t>https://maps.app.goo.gl/jRtjsbneP1PCLcXx8</t>
  </si>
  <si>
    <t>BYD Bomboli Shopping — EVINKA CONECT</t>
  </si>
  <si>
    <t>Lun-Dom 10am-9pm</t>
  </si>
  <si>
    <t>https://maps.app.goo.gl/yDGX4RRYnq42dWWA7</t>
  </si>
  <si>
    <t>BYD Bomboli Shopping — CONDOR CHARGE</t>
  </si>
  <si>
    <t>Club del Campo Hotel &amp; Convenciones</t>
  </si>
  <si>
    <t>https://maps.app.goo.gl/JsukMbBhpZDZutfa6</t>
  </si>
  <si>
    <t>Hostería Los Colorados</t>
  </si>
  <si>
    <t>https://maps.app.goo.gl/Bui7YmsbNHU37qb58</t>
  </si>
  <si>
    <t>Cerca de Aloag</t>
  </si>
  <si>
    <t>Vulcanizadora Recinto La Virgen</t>
  </si>
  <si>
    <t>https://maps.app.goo.gl/wWewNPJu1orB7fvV6</t>
  </si>
  <si>
    <t>Luz de América</t>
  </si>
  <si>
    <t>Frente al Comercial Ponce</t>
  </si>
  <si>
    <t>https://maps.app.goo.gl/dToQjP5YywexHsvs7</t>
  </si>
  <si>
    <t>Los Ríos</t>
  </si>
  <si>
    <t>Patricia Pilar</t>
  </si>
  <si>
    <t>Vulcanizadora</t>
  </si>
  <si>
    <t>https://goo.gl/maps/NTV8uTJyumMSdgnX8</t>
  </si>
  <si>
    <t>Babahoyo</t>
  </si>
  <si>
    <t>Punto de Carga Comunidad BYD — Pueblo Nuevo</t>
  </si>
  <si>
    <t>24/7 — Agendar</t>
  </si>
  <si>
    <t>Solo miembros BYD</t>
  </si>
  <si>
    <t>RESERVADO - SOLO MIEMBROS BYD</t>
  </si>
  <si>
    <t>Guayas</t>
  </si>
  <si>
    <t>Guayaquil</t>
  </si>
  <si>
    <t>BYD Juan Tanga Marengo</t>
  </si>
  <si>
    <t>Lun-Vie 9am-6pm / Sáb 10am-2pm</t>
  </si>
  <si>
    <t>https://maps.app.goo.gl/1BDtbuHnVYeURAhW7</t>
  </si>
  <si>
    <t>BYD Américas</t>
  </si>
  <si>
    <t>https://maps.app.goo.gl/h4JYzTDghEkhpUUq6</t>
  </si>
  <si>
    <t>Mall del Norte</t>
  </si>
  <si>
    <t>Tipo 1 + Tipo 2</t>
  </si>
  <si>
    <t>Hasta 9pm</t>
  </si>
  <si>
    <t>https://maps.app.goo.gl/VZKWDhXmuSWNsUKt7</t>
  </si>
  <si>
    <t>City Mall</t>
  </si>
  <si>
    <t>Tipo 1 Pared</t>
  </si>
  <si>
    <t>https://maps.app.goo.gl/QLgm9YUowbwG1fpQ7</t>
  </si>
  <si>
    <t>Parque Samanes — CONDOR CHARGE</t>
  </si>
  <si>
    <t>CS2 + CHAdeMO + Tipo 2</t>
  </si>
  <si>
    <t>40kW / 40kW / 7kW</t>
  </si>
  <si>
    <t>Abierto excepto 6pm-10pm</t>
  </si>
  <si>
    <t>https://maps.app.goo.gl/KCp9jK1nZcG49SGF8</t>
  </si>
  <si>
    <t>Megamaxi Ceibos — CONDOR CHARGE</t>
  </si>
  <si>
    <t>CS2 — PRÓXIMAMENTE</t>
  </si>
  <si>
    <t>60kW</t>
  </si>
  <si>
    <t>9am-9pm</t>
  </si>
  <si>
    <t>https://maps.app.goo.gl/ezQfESXhXVwWkttk7</t>
  </si>
  <si>
    <t>Guayaquil Vía la Costa</t>
  </si>
  <si>
    <t>Primax Puerto Azul</t>
  </si>
  <si>
    <t>https://maps.app.goo.gl/6rCv1ZnmQ7NwcUmr8</t>
  </si>
  <si>
    <t>Burger King — EVINKA CONECT</t>
  </si>
  <si>
    <t>Lun-Dom 10am-1am</t>
  </si>
  <si>
    <t>https://maps.app.goo.gl/iJerLjoe8xr6BrZQ8</t>
  </si>
  <si>
    <t>Durán</t>
  </si>
  <si>
    <t>Punto Carga Comunidad BYD — Panorama</t>
  </si>
  <si>
    <t>⚫ PRIVADO</t>
  </si>
  <si>
    <t>6am-11pm — Agendar</t>
  </si>
  <si>
    <t>Samborondón</t>
  </si>
  <si>
    <t>Punto Carga Comunidad BYD — Ciudad Celeste</t>
  </si>
  <si>
    <t>Plaza Lagos</t>
  </si>
  <si>
    <t>8am-11pm</t>
  </si>
  <si>
    <t>https://maps.app.goo.gl/ZzqYfXX2Dj2dnfpq8</t>
  </si>
  <si>
    <t>Village</t>
  </si>
  <si>
    <t>Tipo 1 Pared (Adaptador)</t>
  </si>
  <si>
    <t>3.5kW</t>
  </si>
  <si>
    <t>10am-9pm</t>
  </si>
  <si>
    <t>https://maps.app.goo.gl/YdKxtRXf4Sz7qHzR6</t>
  </si>
  <si>
    <t>Marbol Plaza</t>
  </si>
  <si>
    <t>8am-10pm</t>
  </si>
  <si>
    <t>Parque La Paz Aurora</t>
  </si>
  <si>
    <t>https://maps.app.goo.gl/S8JCDE5z7poBjfSe8</t>
  </si>
  <si>
    <t>Playas Villamil</t>
  </si>
  <si>
    <t>Punto Carga Comunidad BYD</t>
  </si>
  <si>
    <t>La Costa Club de Campo</t>
  </si>
  <si>
    <t>8am-5pm</t>
  </si>
  <si>
    <t>https://maps.app.goo.gl/WUT2zb4CSkAtiee2A</t>
  </si>
  <si>
    <t>Hotel Presidente Premium</t>
  </si>
  <si>
    <t>220V Tipo Chino + Pata Gallina</t>
  </si>
  <si>
    <t>3.5-7kW</t>
  </si>
  <si>
    <t>https://maps.app.goo.gl/pFDGh8JBzmTAe2nn9</t>
  </si>
  <si>
    <t>Hotel Luna Azzul</t>
  </si>
  <si>
    <t>220V 16A-32A</t>
  </si>
  <si>
    <t>https://maps.app.goo.gl/fsoWacmttjkHzHSa8</t>
  </si>
  <si>
    <t>Chimborazo</t>
  </si>
  <si>
    <t>Bucay</t>
  </si>
  <si>
    <t>Cascada La Poderosa — Vía Chillanes</t>
  </si>
  <si>
    <t>Hasta la tarde</t>
  </si>
  <si>
    <t>https://maps.app.goo.gl/qdR55sDkETPKqKkA9</t>
  </si>
  <si>
    <t>Naranjal</t>
  </si>
  <si>
    <t>Santa Elena</t>
  </si>
  <si>
    <t>Vulcanizadora junto a Mago Fast Food</t>
  </si>
  <si>
    <t>https://maps.app.goo.gl/wmncQ8aeED4TGH5bA</t>
  </si>
  <si>
    <t>Terminal de Santa Elena</t>
  </si>
  <si>
    <t>https://maps.app.goo.gl/wHREtfHZzsL6HweW6</t>
  </si>
  <si>
    <t>Ballenita</t>
  </si>
  <si>
    <t>Hotel Ballenita Blue</t>
  </si>
  <si>
    <t>🔴 LENTO</t>
  </si>
  <si>
    <t>110V 16A</t>
  </si>
  <si>
    <t>1.5kW</t>
  </si>
  <si>
    <t>https://maps.app.goo.gl/Q7ta5MudHyWNEGVJ7</t>
  </si>
  <si>
    <t>Ayangue</t>
  </si>
  <si>
    <t>Hotel Kanagua</t>
  </si>
  <si>
    <t>https://maps.app.goo.gl/QmC5eMS53tPpmn8e9</t>
  </si>
  <si>
    <t>Hostal El Tamarindo</t>
  </si>
  <si>
    <t>https://maps.app.goo.gl/Pr85g1XhPy6SSSF29</t>
  </si>
  <si>
    <t>Salinas</t>
  </si>
  <si>
    <t>Hotel Villa del Mar</t>
  </si>
  <si>
    <t>220V 16A Tipo Chino</t>
  </si>
  <si>
    <t>https://maps.app.goo.gl/TtknM4bFAGo6szRNA</t>
  </si>
  <si>
    <t>Taller de Soldadura de Ángel</t>
  </si>
  <si>
    <t>https://maps.app.goo.gl/Riu3dA3mPnnQteRg6</t>
  </si>
  <si>
    <t>Supermaxi — CONDOR CHARGE</t>
  </si>
  <si>
    <t>CS2</t>
  </si>
  <si>
    <t>90kW</t>
  </si>
  <si>
    <t>https://maps.app.goo.gl/RrcZQsfS6giYDhQd9</t>
  </si>
  <si>
    <t>Hotel Colón</t>
  </si>
  <si>
    <t>https://maps.app.goo.gl/FUabaPtKtBG6LKiG6</t>
  </si>
  <si>
    <t>Montañita</t>
  </si>
  <si>
    <t>DHARMA BEACH Hotel</t>
  </si>
  <si>
    <t>https://maps.app.goo.gl/WQnsw1Zoc76ZbAfL8</t>
  </si>
  <si>
    <t>El Oro</t>
  </si>
  <si>
    <t>Huaquillas</t>
  </si>
  <si>
    <t>Hotel Plaza Central</t>
  </si>
  <si>
    <t>https://maps.app.goo.gl/5FHMLEzBsgL27yZP9</t>
  </si>
  <si>
    <t>Parqueadero</t>
  </si>
  <si>
    <t>https://maps.app.goo.gl/MWzgTLuMQTXmFyTL8</t>
  </si>
  <si>
    <t>Machala</t>
  </si>
  <si>
    <t>BYD Machala</t>
  </si>
  <si>
    <t>https://maps.app.goo.gl/nYVuRWzGMaoJ6Hv18</t>
  </si>
  <si>
    <t>Tipo 2 + Tipo 1</t>
  </si>
  <si>
    <t>https://maps.app.goo.gl/wKhvFU2V29xfWZct7</t>
  </si>
  <si>
    <t>Hotel Oro Verde</t>
  </si>
  <si>
    <t>https://maps.app.goo.gl/S96oL9f6ZdTY4djT7</t>
  </si>
  <si>
    <t>Terminal de Machala</t>
  </si>
  <si>
    <t>https://maps.app.goo.gl/FdyixvVNiJtfCKG68</t>
  </si>
  <si>
    <t>Santa Rosa</t>
  </si>
  <si>
    <t>Terminal Terrestre Binacional</t>
  </si>
  <si>
    <t>https://maps.app.goo.gl/42SUtCGmymPJUq3W7</t>
  </si>
  <si>
    <t>Manabí</t>
  </si>
  <si>
    <t>Manta</t>
  </si>
  <si>
    <t>Plaza La Quadra</t>
  </si>
  <si>
    <t>7am-2am</t>
  </si>
  <si>
    <t>https://maps.app.goo.gl/Z6Tq28QH9DKeBzNA6</t>
  </si>
  <si>
    <t>Punto Carga Comunidad BYD — Manta Beach</t>
  </si>
  <si>
    <t>Mall del Pacífico — CONDOR CHARGE</t>
  </si>
  <si>
    <t>https://maps.app.goo.gl/f9HhEA8bweKVetAU8</t>
  </si>
  <si>
    <t>Ayampe</t>
  </si>
  <si>
    <t>Cerro Lobo</t>
  </si>
  <si>
    <t>https://maps.app.goo.gl/AmvRehAM8AZT9WwD7</t>
  </si>
  <si>
    <t>Crucita</t>
  </si>
  <si>
    <t>Bahía de Caráquez</t>
  </si>
  <si>
    <t>GCDIESEL</t>
  </si>
  <si>
    <t>https://maps.app.goo.gl/RuXX8trwjPfAFeKc8</t>
  </si>
  <si>
    <t>Hotel Saiananda</t>
  </si>
  <si>
    <t>https://maps.app.goo.gl/xwip4szmqfP3oy9C9</t>
  </si>
  <si>
    <t>Portoviejo</t>
  </si>
  <si>
    <t>Local Novedades Karen</t>
  </si>
  <si>
    <t>https://goo.gl/maps/Tm6au5KMpAynFFXk9</t>
  </si>
  <si>
    <t>Peaje Manta-Portoviejo</t>
  </si>
  <si>
    <t>https://maps.app.goo.gl/5K6wcGuAyPUKsrq3A</t>
  </si>
  <si>
    <t>Pedernales</t>
  </si>
  <si>
    <t>Playa de Cristal</t>
  </si>
  <si>
    <t>220V 32A Tipo Normal</t>
  </si>
  <si>
    <t>https://maps.app.goo.gl/GuAXV7393Pw7SUBQA</t>
  </si>
  <si>
    <t>Jama</t>
  </si>
  <si>
    <t>Campay — EVINKA CONECT</t>
  </si>
  <si>
    <t>https://maps.app.goo.gl/T7vburhYeHhtUCZf7</t>
  </si>
  <si>
    <t>EVEcuador ⚡ — Puntos de Carga ⛰️ Sierra</t>
  </si>
  <si>
    <t>Pichincha</t>
  </si>
  <si>
    <t>Puerto Quito</t>
  </si>
  <si>
    <t>The River House Lodge — EVINKA CONECT</t>
  </si>
  <si>
    <t>https://maps.app.goo.gl/HkjQ5GER9DoaWz1c9</t>
  </si>
  <si>
    <t>Restaurante Alado Toñito</t>
  </si>
  <si>
    <t>https://maps.app.goo.gl/1dUBHweGtp5sHATY9</t>
  </si>
  <si>
    <t>Pedro Vicente Maldonado</t>
  </si>
  <si>
    <t>Hotel Balcón Alcalá</t>
  </si>
  <si>
    <t>https://maps.app.goo.gl/SGs3sQJCvmrD12C19</t>
  </si>
  <si>
    <t>Tabacundo</t>
  </si>
  <si>
    <t>7am-5pm — Agendar</t>
  </si>
  <si>
    <t>Vulcanizadora Q.L</t>
  </si>
  <si>
    <t>https://maps.app.goo.gl/a2g7N8d3LxeYj4fXA</t>
  </si>
  <si>
    <t>Quito</t>
  </si>
  <si>
    <t>Supermaxi Plaza Norte — CONDOR CHARGE</t>
  </si>
  <si>
    <t>9:30am-8pm</t>
  </si>
  <si>
    <t>https://maps.app.goo.gl/A5oGAKkD7JJ25C8w8</t>
  </si>
  <si>
    <t>Studio 3 Peluquería</t>
  </si>
  <si>
    <t>8am-7pm</t>
  </si>
  <si>
    <t>https://maps.app.goo.gl/QHm6Dd6VyAy4yqHd9</t>
  </si>
  <si>
    <t>Centro Comercial Montúfar</t>
  </si>
  <si>
    <t>Tipo 1 (Adaptador)</t>
  </si>
  <si>
    <t>9am-5pm</t>
  </si>
  <si>
    <t>https://maps.app.goo.gl/evx2pQhJHsSw3T9</t>
  </si>
  <si>
    <t>Alado del Citimed Clínica</t>
  </si>
  <si>
    <t>https://maps.app.goo.gl/NurGeP7HE41Am2SS9</t>
  </si>
  <si>
    <t>Supermaxi Granda Centeno — CONDOR CHARGE</t>
  </si>
  <si>
    <t>9:30am-8:30pm</t>
  </si>
  <si>
    <t>https://maps.app.goo.gl/nFDYEMabNSLhYw9C9</t>
  </si>
  <si>
    <t>Megamaxi 6 de Diciembre — CONDOR CHARGE</t>
  </si>
  <si>
    <t>CS2 + CHAdeMO + CS1 + Tipo 2</t>
  </si>
  <si>
    <t>https://maps.app.goo.gl/npDrizD8xiTej2XN6</t>
  </si>
  <si>
    <t>DHL Express Punto de Venta</t>
  </si>
  <si>
    <t>8:30am-6:30pm</t>
  </si>
  <si>
    <t>https://maps.app.goo.gl/Cnosa3pKZGDR57uQ6</t>
  </si>
  <si>
    <t>Mall del Jardín</t>
  </si>
  <si>
    <t>https://maps.app.goo.gl/vJ7ENEBQeBchkK6f6</t>
  </si>
  <si>
    <t>Terminal Carcelén</t>
  </si>
  <si>
    <t>https://maps.app.goo.gl/frFzJiaPasXGpB7V8</t>
  </si>
  <si>
    <t>BYD Sangolquí</t>
  </si>
  <si>
    <t>https://maps.app.goo.gl/WM33cxCpS1Ai3MNF9</t>
  </si>
  <si>
    <t>Quito - Sangolquí</t>
  </si>
  <si>
    <t>PILLAJO CORP. Electrolinera</t>
  </si>
  <si>
    <t>Lun-Vie 7am-5:30pm — Con agendamiento</t>
  </si>
  <si>
    <t>https://maps.app.goo.gl/9fbiJLnNfiAiMHzw9</t>
  </si>
  <si>
    <t>Quicentro Shopping — EVINKA CONECT</t>
  </si>
  <si>
    <t>CS2 + Tipo 2</t>
  </si>
  <si>
    <t>60kW / 7kW</t>
  </si>
  <si>
    <t>https://maps.app.goo.gl/mcVxgr7H1MFNeojM6</t>
  </si>
  <si>
    <t>Quito — Cumbayá</t>
  </si>
  <si>
    <t>Burger King Cumbayá — EVINKA CONECT</t>
  </si>
  <si>
    <t>Lun-Dom 7am-1am</t>
  </si>
  <si>
    <t>https://maps.app.goo.gl/PH61tAtdWbZDFVds9</t>
  </si>
  <si>
    <t>Scala Shopping Mall</t>
  </si>
  <si>
    <t>10am-8:30pm</t>
  </si>
  <si>
    <t>https://maps.app.goo.gl/MeiyF934nWKLdFgV6</t>
  </si>
  <si>
    <t>La Tejeadora</t>
  </si>
  <si>
    <t>6am-2am</t>
  </si>
  <si>
    <t>https://maps.app.goo.gl/D9tzR69iJeDHQTDN8</t>
  </si>
  <si>
    <t>BYD Cumbayá</t>
  </si>
  <si>
    <t>https://maps.app.goo.gl/JPvgRLofciTfB9pd8</t>
  </si>
  <si>
    <t>Quito — Valle Chillos</t>
  </si>
  <si>
    <t>BYD en Valle de los Chillos — San Rafael</t>
  </si>
  <si>
    <t>https://maps.app.goo.gl/yvfh1zyr9n6cPDBo9</t>
  </si>
  <si>
    <t>Burger King Valle Chillos — EVINKA CONECT</t>
  </si>
  <si>
    <t>https://maps.app.goo.gl/Frn53k6kcBhNE7mi9</t>
  </si>
  <si>
    <t>BYD CORASA</t>
  </si>
  <si>
    <t>https://maps.app.goo.gl/EARggkJxBzpKaoVMA</t>
  </si>
  <si>
    <t>Paseo San Francisco — CONDOR CHARGE</t>
  </si>
  <si>
    <t>10am-8pm</t>
  </si>
  <si>
    <t>https://maps.app.goo.gl/szLFWCPYgnoghFid9</t>
  </si>
  <si>
    <t>Supermaxi San Bartolo — CONDOR CHARGE</t>
  </si>
  <si>
    <t>https://maps.app.goo.gl/oStt8aJuTtpXChEC7</t>
  </si>
  <si>
    <t>Plaza Marquesina</t>
  </si>
  <si>
    <t>https://maps.app.goo.gl/UoeHfWeAxjWCACLc7</t>
  </si>
  <si>
    <t>Quito — Tumbaco</t>
  </si>
  <si>
    <t>Supermaxi La Cerámica</t>
  </si>
  <si>
    <t>https://maps.app.goo.gl/mszkUSQAUQa8apzU6</t>
  </si>
  <si>
    <t>Mall El Jardín</t>
  </si>
  <si>
    <t>https://maps.app.goo.gl/FsYWG9qdjsNGC7AN9</t>
  </si>
  <si>
    <t>Centro Comercial Iñaquito CCI</t>
  </si>
  <si>
    <t>9:30am-9pm</t>
  </si>
  <si>
    <t>https://maps.app.goo.gl/7hZyjApFQrdTxcQ56</t>
  </si>
  <si>
    <t>Estacionamiento Carolina 1 — CONDOR CHARGE</t>
  </si>
  <si>
    <t>https://maps.app.goo.gl/MEDbS7YUeb8moYcZ7</t>
  </si>
  <si>
    <t>Quito - Cumbaya</t>
  </si>
  <si>
    <t xml:space="preserve">Urbapark Cumbaya (calle Pampite y Diego de Robles esquina)
</t>
  </si>
  <si>
    <t>7KW</t>
  </si>
  <si>
    <t>L-V: 08h00-20h00, S-D: 10h00 a 18h00</t>
  </si>
  <si>
    <t>Pago 17ctvs por Kw</t>
  </si>
  <si>
    <t>https://maps.app.goo.gl/TB5dLgoug4bNu6rY6?g_st=ac</t>
  </si>
  <si>
    <t>Costo de parqueo $1 por hora</t>
  </si>
  <si>
    <t>Conectz (Orellana y Rábida)</t>
  </si>
  <si>
    <t>🟢 ULTRA RÁPIDA</t>
  </si>
  <si>
    <t>CCS1, CCS2 Y GBT</t>
  </si>
  <si>
    <t>200kw</t>
  </si>
  <si>
    <t>29 ctvs por Kw más $12 de activación del servicio</t>
  </si>
  <si>
    <t>https://maps.app.goo.gl/uesxTHBDYZgk38Wh9?g_st=ac</t>
  </si>
  <si>
    <t>Imbabura</t>
  </si>
  <si>
    <t>Otavalo</t>
  </si>
  <si>
    <t>Hostería Cabañas del Lago</t>
  </si>
  <si>
    <t>https://maps.app.goo.gl/iR1Ch5KUzzu5n9tz7</t>
  </si>
  <si>
    <t>Cerca de Ambuquí</t>
  </si>
  <si>
    <t>Punto Carga Comunidad BYD — Peaje Ambuquí</t>
  </si>
  <si>
    <t>7am-8pm — Agendar</t>
  </si>
  <si>
    <t>Ibarra</t>
  </si>
  <si>
    <t>Punto Carga Comunidad BYD — Otavalo/Ibarra</t>
  </si>
  <si>
    <t>BYD Ibarra</t>
  </si>
  <si>
    <t>https://maps.app.goo.gl/wvaaUD7rC4YozAhL8</t>
  </si>
  <si>
    <t>Hostería El Prado — EVINKA CONECT</t>
  </si>
  <si>
    <t>https://maps.app.goo.gl/MwVBD1e3k33xUB1j6</t>
  </si>
  <si>
    <t>Punto Carga Comunidad BYD — Ibarra 2</t>
  </si>
  <si>
    <t>Carchi</t>
  </si>
  <si>
    <t>Tulcán</t>
  </si>
  <si>
    <t>Casa familiar cerca Coliseo — Garaje seguro</t>
  </si>
  <si>
    <t>https://maps.app.goo.gl/aw48AXdEA6wUYJ2UA</t>
  </si>
  <si>
    <t>Cotopaxi</t>
  </si>
  <si>
    <t>Latacunga</t>
  </si>
  <si>
    <t>Restaurante Pepas</t>
  </si>
  <si>
    <t>https://maps.app.goo.gl/534wd5UbkWEZk84E9</t>
  </si>
  <si>
    <t>Maltería Plaza — KIA</t>
  </si>
  <si>
    <t>https://maps.app.goo.gl/J7GFveKvwZzFPD6H7</t>
  </si>
  <si>
    <t>Tungurahua</t>
  </si>
  <si>
    <t>Ambato</t>
  </si>
  <si>
    <t>Mall de los Andes — Electrolinera</t>
  </si>
  <si>
    <t>https://maps.app.goo.gl/ZrMmFxQ41KDCWAWS9</t>
  </si>
  <si>
    <t>Pillaro — Cerca Ambato</t>
  </si>
  <si>
    <t>Tomacorriente Tipo Chino</t>
  </si>
  <si>
    <t>https://maps.app.goo.gl/pjYWDYghjavRoHfS9</t>
  </si>
  <si>
    <t>Supermaxi Ficoa — CONDOR CHARGE</t>
  </si>
  <si>
    <t>Tipo GBT Pared</t>
  </si>
  <si>
    <t>https://maps.app.goo.gl/dw8LmNyMyqK4SJQz9</t>
  </si>
  <si>
    <t>Pelileo</t>
  </si>
  <si>
    <t>Gasolinera PRIMAX Panamericana — Electrolinera</t>
  </si>
  <si>
    <t>CS1 + CS2 + CHAdeMO + Mennekes</t>
  </si>
  <si>
    <t>50kW</t>
  </si>
  <si>
    <t>https://maps.app.goo.gl/TxtHtmJr1eAE1btV8</t>
  </si>
  <si>
    <t>Baños</t>
  </si>
  <si>
    <t>Punto Carga Comunidad BYD — Centro Baños</t>
  </si>
  <si>
    <t>Samarí Spa Resort</t>
  </si>
  <si>
    <t>https://maps.app.goo.gl/eEqEhDuHmsqdGzCr6</t>
  </si>
  <si>
    <t>Hotel Spa Miramelindo</t>
  </si>
  <si>
    <t>https://maps.app.goo.gl/3RiTcVX5p5pWcc9q9</t>
  </si>
  <si>
    <t>Riobamba</t>
  </si>
  <si>
    <t>Megamaxi Multiplaza — CONDOR CHARGE (Próximamente)</t>
  </si>
  <si>
    <t>https://maps.app.goo.gl/y9evv1VYhQw8RDaMA</t>
  </si>
  <si>
    <t>Hotel La Colina</t>
  </si>
  <si>
    <t>https://maps.app.goo.gl/qUTkSRaBtMcpyoDn6</t>
  </si>
  <si>
    <t>Cerca Riobamba</t>
  </si>
  <si>
    <t>Hostería Andaluza</t>
  </si>
  <si>
    <t>https://maps.app.goo.gl/2QURzJfjjmJpywZT8</t>
  </si>
  <si>
    <t>BYD Riobamba</t>
  </si>
  <si>
    <t>https://maps.app.goo.gl/4NBjmt4Nd2K9uSGLA</t>
  </si>
  <si>
    <t>8am-11pm — Agendar</t>
  </si>
  <si>
    <t>Gasolinera PyS San Alfonso</t>
  </si>
  <si>
    <t>https://maps.app.goo.gl/tCU2LPrH6QqmjZrf7</t>
  </si>
  <si>
    <t>Colta</t>
  </si>
  <si>
    <t>Gasolinera Primax</t>
  </si>
  <si>
    <t>https://maps.app.goo.gl/trnWEiyHAnTHKNrQA</t>
  </si>
  <si>
    <t>Pallatanga</t>
  </si>
  <si>
    <t>Auto Diesel Su Amigo</t>
  </si>
  <si>
    <t>https://maps.app.goo.gl/jTq4JKB3KSMLQTdR7</t>
  </si>
  <si>
    <t>Azuay</t>
  </si>
  <si>
    <t>Molleturo</t>
  </si>
  <si>
    <t>Mestizo Restaurant</t>
  </si>
  <si>
    <t>https://maps.app.goo.gl/oo9v6276n3UuxW8g6</t>
  </si>
  <si>
    <t>Cuenca</t>
  </si>
  <si>
    <t>BYD Cuenca</t>
  </si>
  <si>
    <t>https://maps.app.goo.gl/jGRZWCi2Yxd3RPuW8</t>
  </si>
  <si>
    <t>Centro Comercial Milenium Plaza</t>
  </si>
  <si>
    <t>10am-10pm</t>
  </si>
  <si>
    <t>https://maps.app.goo.gl/djr57sEAifRfoMht8</t>
  </si>
  <si>
    <t>Parque de la Madre</t>
  </si>
  <si>
    <t>Hasta 9pm (subsuelo) y 24/7</t>
  </si>
  <si>
    <t>Hotel Zahir</t>
  </si>
  <si>
    <t>https://maps.app.goo.gl/dogjqj2zza4AEpqh6</t>
  </si>
  <si>
    <t>Quality Centro Automotriz</t>
  </si>
  <si>
    <t>Lun-Sáb 8am-5pm / Sáb 8am-12pm</t>
  </si>
  <si>
    <t>https://maps.app.goo.gl/WTSkjXb6F7HAsRyb7</t>
  </si>
  <si>
    <t>Dos Chorreras Restaurant</t>
  </si>
  <si>
    <t>220V + Tipo 2</t>
  </si>
  <si>
    <t>https://maps.app.goo.gl/ha7dfdjBUuSiq8vf9</t>
  </si>
  <si>
    <t>Empresa Eléctrica Regional Centro Sur</t>
  </si>
  <si>
    <t>https://maps.app.goo.gl/LAHce2fBoKvfGiXe9</t>
  </si>
  <si>
    <t>Villa Ana María</t>
  </si>
  <si>
    <t>https://maps.app.goo.gl/qaJPu5ftpNoTQt6p6</t>
  </si>
  <si>
    <t>Wayra Plaza — CONDOR CHARGE</t>
  </si>
  <si>
    <t>https://maps.app.goo.gl/osyengq8zLkGtydAA</t>
  </si>
  <si>
    <t>Cañar</t>
  </si>
  <si>
    <t>https://maps.app.goo.gl/EjSjLzySEQWDZB4n9</t>
  </si>
  <si>
    <t>Loja</t>
  </si>
  <si>
    <t>Estadio Federativo Reina de El Cisne — Electrolinera</t>
  </si>
  <si>
    <t>CHAdeMO (necesita adaptador)</t>
  </si>
  <si>
    <t>40kW</t>
  </si>
  <si>
    <t>https://maps.app.goo.gl/LgcCetriFRAptYRT7</t>
  </si>
  <si>
    <t>Saraguro</t>
  </si>
  <si>
    <t>Taller Eléctrico Manuel Tene</t>
  </si>
  <si>
    <t>https://maps.app.goo.gl/WfSe9iTcxfG2TZxk7</t>
  </si>
  <si>
    <t>Bolívar</t>
  </si>
  <si>
    <t>San Pablo de Atenas</t>
  </si>
  <si>
    <t>Estación de Servicio Los Arrayanes</t>
  </si>
  <si>
    <t>https://maps.app.goo.gl/uhWUeLKxuYiM1nZC9</t>
  </si>
  <si>
    <t>Guaranda — San Miguel</t>
  </si>
  <si>
    <t>Vulcanizadora cerca Gasolinera PSP</t>
  </si>
  <si>
    <t>https://maps.app.goo.gl/vhrkxo5wBBUtHWKe8</t>
  </si>
  <si>
    <t>EVEcuador ⚡ — Puntos de Carga 🌿 Amazonía</t>
  </si>
  <si>
    <t>Napo</t>
  </si>
  <si>
    <t>Archidona</t>
  </si>
  <si>
    <t>Hostería El Paraíso de las Orquídeas — El Bosque de los Monos</t>
  </si>
  <si>
    <t>https://maps.app.goo.gl/AV7q97Ej8jKs7PPJ9</t>
  </si>
  <si>
    <t>Estación de Servicio P&amp;S Archidona</t>
  </si>
  <si>
    <t>https://maps.app.goo.gl/fXuSmrYXhhKwCzco6</t>
  </si>
  <si>
    <t>Baeza</t>
  </si>
  <si>
    <t>Vulcanizadora El Gato — Frente Gasolinera PSP</t>
  </si>
  <si>
    <t>https://maps.app.goo.gl/r2YgugEcRLusV41t9</t>
  </si>
  <si>
    <t>Puerto Napo</t>
  </si>
  <si>
    <t>Hamadryade Lodge Hotel</t>
  </si>
  <si>
    <t>https://maps.app.goo.gl/4hZXQidowSkQpncJA</t>
  </si>
  <si>
    <t>Morona Santiago</t>
  </si>
  <si>
    <t>Méndez</t>
  </si>
  <si>
    <t>🛣️ EVEcuador — Ruta Quito ↔ Guayaquil — Puntos de Carga en Orden Geográfico</t>
  </si>
  <si>
    <t>KM APROX</t>
  </si>
  <si>
    <t>CIUDAD / SECTOR</t>
  </si>
  <si>
    <t>PUNTO DE CARGA</t>
  </si>
  <si>
    <t>Quito — Quicentro</t>
  </si>
  <si>
    <t>60kW CS2</t>
  </si>
  <si>
    <t>Ambato — Mall de los Andes</t>
  </si>
  <si>
    <t>90kW CS2</t>
  </si>
  <si>
    <t>Gasolinera PRIMAX Panamericana</t>
  </si>
  <si>
    <t>50kW Multi</t>
  </si>
  <si>
    <t>Cascada La Poderosa</t>
  </si>
  <si>
    <t>Hasta tarde</t>
  </si>
  <si>
    <t>Patricia Pilar — Los Ríos</t>
  </si>
  <si>
    <t>KFC / BYD Bomboli — EVINKA CONECT</t>
  </si>
  <si>
    <t>Guayaquil — Parque Samanes</t>
  </si>
  <si>
    <t>CONDOR CHARGE</t>
  </si>
  <si>
    <t>40kW CS2+CHAdeMO</t>
  </si>
  <si>
    <t>No 6pm-10pm</t>
  </si>
  <si>
    <t>Guayaquil — Salinas/Ceibos</t>
  </si>
  <si>
    <t>⚠️ Nota: Los kilómetros son aproximados desde Quito Centro por la Panamericana Sur. Verifica siempre el horario antes de llegar. Lleva siempre tu cargador portátil como respaldo.</t>
  </si>
  <si>
    <t>➕ REPORTAR NUEVO PUNTO DE CARGA — EVEcuador</t>
  </si>
  <si>
    <t>Completa esta hoja y compártela en el grupo ⚡ Puntos de Carga de EVEcuador para que lo agreguemos al mapa.</t>
  </si>
  <si>
    <t>Provincia</t>
  </si>
  <si>
    <t>Ej: Pichincha</t>
  </si>
  <si>
    <t>Cantón / Ciudad</t>
  </si>
  <si>
    <t>Ej: Quito</t>
  </si>
  <si>
    <t>Nombre del lugar</t>
  </si>
  <si>
    <t>Ej: Supermaxi La Carolina</t>
  </si>
  <si>
    <t>Tipo de cargador</t>
  </si>
  <si>
    <t>Tipo 2 / CS2 / 220V Pata Gallina / 110V / Otro</t>
  </si>
  <si>
    <t>Potencia</t>
  </si>
  <si>
    <t>7kW / 50kW / 90kW / 3.5kW / 1.5kW</t>
  </si>
  <si>
    <t>Horario</t>
  </si>
  <si>
    <t>24/7 / Lunes-Viernes 9am-6pm / Tarde / etc.</t>
  </si>
  <si>
    <t>Costo</t>
  </si>
  <si>
    <t>Gratuito / Pago (precio si sabes) / Consultar</t>
  </si>
  <si>
    <t>Enlace Google Maps</t>
  </si>
  <si>
    <t>Pega aquí el enlace de Google Maps del lugar</t>
  </si>
  <si>
    <t>¿Funciona bien?</t>
  </si>
  <si>
    <t>Sí ✅ / Con problemas ⚠️ / Fuera de servicio ❌</t>
  </si>
  <si>
    <t>Fecha de verificación</t>
  </si>
  <si>
    <t>Ej: Abril 2026</t>
  </si>
  <si>
    <t>Tu nombre o alias</t>
  </si>
  <si>
    <t>Para dar crédito en la comunidad</t>
  </si>
  <si>
    <t>Comentario adicional</t>
  </si>
  <si>
    <t>Cualquier info útil: requiere adaptador, pide permiso, etc.</t>
  </si>
  <si>
    <t>* Gratuito = el lugar te permite cargar sin cobrar por la electricidad. Siempre consume algo — sé agradecido con el establecimiento.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</si>
</sst>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2">
    <font>
      <sz val="11.0"/>
      <color theme="1"/>
      <name val="Calibri"/>
      <scheme val="minor"/>
    </font>
    <font>
      <b/>
      <sz val="18.0"/>
      <color rgb="FF1A7A4A"/>
      <name val="Arial"/>
    </font>
    <font/>
    <font>
      <i/>
      <sz val="11.0"/>
      <color rgb="FF666666"/>
      <name val="Arial"/>
    </font>
    <font>
      <b/>
      <sz val="12.0"/>
      <color rgb="FF1A7A4A"/>
      <name val="Arial"/>
    </font>
    <font>
      <b/>
      <sz val="11.0"/>
      <color rgb="FF222222"/>
      <name val="Arial"/>
    </font>
    <font>
      <sz val="10.0"/>
      <color rgb="FF333333"/>
      <name val="Arial"/>
    </font>
    <font>
      <b/>
      <sz val="12.0"/>
      <color rgb="FFCC6600"/>
      <name val="Arial"/>
    </font>
    <font>
      <b/>
      <sz val="10.0"/>
      <color rgb="FF333333"/>
      <name val="Arial"/>
    </font>
    <font>
      <b/>
      <sz val="11.0"/>
      <color rgb="FF1A7A4A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sz val="10.0"/>
      <color rgb="FF222222"/>
      <name val="Arial"/>
    </font>
    <font>
      <sz val="9.0"/>
      <color rgb="FF222222"/>
      <name val="Arial"/>
    </font>
    <font>
      <u/>
      <sz val="9.0"/>
      <color rgb="FF222222"/>
      <name val="Arial"/>
    </font>
    <font>
      <color theme="1"/>
      <name val="Calibri"/>
      <scheme val="minor"/>
    </font>
    <font>
      <u/>
      <sz val="9.0"/>
      <color rgb="FF0000FF"/>
      <name val="Arial"/>
    </font>
    <font>
      <b/>
      <sz val="13.0"/>
      <color rgb="FFFFFFFF"/>
      <name val="Arial"/>
    </font>
    <font>
      <i/>
      <sz val="10.0"/>
      <color rgb="FFCC6600"/>
      <name val="Arial"/>
    </font>
    <font>
      <i/>
      <sz val="10.0"/>
      <color rgb="FF555555"/>
      <name val="Arial"/>
    </font>
    <font>
      <i/>
      <sz val="10.0"/>
      <color rgb="FFAAAAAA"/>
      <name val="Arial"/>
    </font>
    <font>
      <i/>
      <sz val="10.0"/>
      <color rgb="FF666666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8F8F0"/>
        <bgColor rgb="FFE8F8F0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E8E8"/>
        <bgColor rgb="FFFFE8E8"/>
      </patternFill>
    </fill>
    <fill>
      <patternFill patternType="solid">
        <fgColor rgb="FFE0E0E0"/>
        <bgColor rgb="FFE0E0E0"/>
      </patternFill>
    </fill>
    <fill>
      <patternFill patternType="solid">
        <fgColor rgb="FFFFFBF0"/>
        <bgColor rgb="FFFFFBF0"/>
      </patternFill>
    </fill>
    <fill>
      <patternFill patternType="solid">
        <fgColor rgb="FF1565A0"/>
        <bgColor rgb="FF1565A0"/>
      </patternFill>
    </fill>
    <fill>
      <patternFill patternType="solid">
        <fgColor rgb="FF4A4A4A"/>
        <bgColor rgb="FF4A4A4A"/>
      </patternFill>
    </fill>
    <fill>
      <patternFill patternType="solid">
        <fgColor rgb="FFEEEEEE"/>
        <bgColor rgb="FFEEEEEE"/>
      </patternFill>
    </fill>
    <fill>
      <patternFill patternType="solid">
        <fgColor rgb="FF5D4037"/>
        <bgColor rgb="FF5D4037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2E7D32"/>
        <bgColor rgb="FF2E7D32"/>
      </patternFill>
    </fill>
    <fill>
      <patternFill patternType="solid">
        <fgColor rgb="FF1A3A6A"/>
        <bgColor rgb="FF1A3A6A"/>
      </patternFill>
    </fill>
    <fill>
      <patternFill patternType="solid">
        <fgColor rgb="FF2A4A8A"/>
        <bgColor rgb="FF2A4A8A"/>
      </patternFill>
    </fill>
    <fill>
      <patternFill patternType="solid">
        <fgColor rgb="FF1A7A4A"/>
        <bgColor rgb="FF1A7A4A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4" fillId="3" fontId="5" numFmtId="0" xfId="0" applyAlignment="1" applyBorder="1" applyFill="1" applyFont="1">
      <alignment horizontal="left" vertical="center"/>
    </xf>
    <xf borderId="4" fillId="3" fontId="6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left" vertical="center"/>
    </xf>
    <xf borderId="4" fillId="4" fontId="6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vertical="center"/>
    </xf>
    <xf borderId="4" fillId="5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vertical="center"/>
    </xf>
    <xf borderId="4" fillId="6" fontId="6" numFmtId="0" xfId="0" applyAlignment="1" applyBorder="1" applyFont="1">
      <alignment horizontal="left" shrinkToFit="0" vertical="center" wrapText="1"/>
    </xf>
    <xf borderId="0" fillId="0" fontId="7" numFmtId="0" xfId="0" applyFont="1"/>
    <xf borderId="5" fillId="7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2" fontId="8" numFmtId="0" xfId="0" applyAlignment="1" applyBorder="1" applyFont="1">
      <alignment horizontal="left" vertical="center"/>
    </xf>
    <xf borderId="4" fillId="2" fontId="9" numFmtId="0" xfId="0" applyAlignment="1" applyBorder="1" applyFont="1">
      <alignment horizontal="center" vertical="center"/>
    </xf>
    <xf borderId="1" fillId="8" fontId="10" numFmtId="0" xfId="0" applyAlignment="1" applyBorder="1" applyFill="1" applyFont="1">
      <alignment horizontal="center" vertical="center"/>
    </xf>
    <xf borderId="4" fillId="9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left" shrinkToFit="0" vertical="center" wrapText="1"/>
    </xf>
    <xf borderId="4" fillId="10" fontId="12" numFmtId="0" xfId="0" applyAlignment="1" applyBorder="1" applyFill="1" applyFont="1">
      <alignment horizontal="center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4" fillId="10" fontId="13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1" fillId="11" fontId="10" numFmtId="0" xfId="0" applyAlignment="1" applyBorder="1" applyFill="1" applyFont="1">
      <alignment horizontal="center" vertical="center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left" readingOrder="0" shrinkToFit="0" vertical="center" wrapText="1"/>
    </xf>
    <xf borderId="4" fillId="4" fontId="1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wrapText="1"/>
    </xf>
    <xf borderId="4" fillId="12" fontId="12" numFmtId="0" xfId="0" applyAlignment="1" applyBorder="1" applyFill="1" applyFont="1">
      <alignment horizontal="center" readingOrder="0" shrinkToFit="0" vertical="center" wrapText="1"/>
    </xf>
    <xf borderId="4" fillId="12" fontId="12" numFmtId="0" xfId="0" applyAlignment="1" applyBorder="1" applyFont="1">
      <alignment horizontal="left" readingOrder="0" shrinkToFit="0" vertical="center" wrapText="1"/>
    </xf>
    <xf borderId="4" fillId="12" fontId="12" numFmtId="164" xfId="0" applyAlignment="1" applyBorder="1" applyFont="1" applyNumberFormat="1">
      <alignment horizontal="center" readingOrder="0" shrinkToFit="0" vertical="center" wrapText="1"/>
    </xf>
    <xf borderId="4" fillId="12" fontId="16" numFmtId="0" xfId="0" applyAlignment="1" applyBorder="1" applyFont="1">
      <alignment horizontal="left" readingOrder="0" shrinkToFit="0" vertical="center" wrapText="1"/>
    </xf>
    <xf borderId="0" fillId="13" fontId="15" numFmtId="0" xfId="0" applyFill="1" applyFont="1"/>
    <xf borderId="4" fillId="10" fontId="12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4" fillId="5" fontId="12" numFmtId="0" xfId="0" applyAlignment="1" applyBorder="1" applyFont="1">
      <alignment horizontal="center" readingOrder="0" shrinkToFit="0" vertical="center" wrapText="1"/>
    </xf>
    <xf borderId="1" fillId="14" fontId="10" numFmtId="0" xfId="0" applyAlignment="1" applyBorder="1" applyFill="1" applyFont="1">
      <alignment horizontal="center" vertical="center"/>
    </xf>
    <xf borderId="1" fillId="15" fontId="17" numFmtId="0" xfId="0" applyAlignment="1" applyBorder="1" applyFill="1" applyFont="1">
      <alignment horizontal="center" vertical="center"/>
    </xf>
    <xf borderId="4" fillId="16" fontId="11" numFmtId="0" xfId="0" applyAlignment="1" applyBorder="1" applyFill="1" applyFont="1">
      <alignment horizontal="center" shrinkToFit="0" vertical="center" wrapText="1"/>
    </xf>
    <xf borderId="5" fillId="7" fontId="18" numFmtId="0" xfId="0" applyAlignment="1" applyBorder="1" applyFont="1">
      <alignment horizontal="left" shrinkToFit="0" vertical="center" wrapText="1"/>
    </xf>
    <xf borderId="1" fillId="17" fontId="10" numFmtId="0" xfId="0" applyAlignment="1" applyBorder="1" applyFill="1" applyFont="1">
      <alignment horizontal="center" vertical="center"/>
    </xf>
    <xf borderId="1" fillId="2" fontId="19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left" vertical="center"/>
    </xf>
    <xf borderId="4" fillId="18" fontId="20" numFmtId="0" xfId="0" applyAlignment="1" applyBorder="1" applyFill="1" applyFont="1">
      <alignment horizontal="left" vertical="center"/>
    </xf>
    <xf borderId="5" fillId="19" fontId="2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TB5dLgoug4bNu6rY6?g_st=ac" TargetMode="External"/><Relationship Id="rId2" Type="http://schemas.openxmlformats.org/officeDocument/2006/relationships/hyperlink" Target="https://maps.app.goo.gl/uesxTHBDYZgk38Wh9?g_st=ac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3" width="55.0"/>
    <col customWidth="1" min="4" max="4" width="20.0"/>
    <col customWidth="1" min="5" max="26" width="8.71"/>
  </cols>
  <sheetData>
    <row r="1" ht="15.0" customHeight="1"/>
    <row r="2" ht="39.75" customHeight="1">
      <c r="B2" s="1" t="s">
        <v>0</v>
      </c>
      <c r="C2" s="2"/>
      <c r="D2" s="3"/>
    </row>
    <row r="3" ht="21.75" customHeight="1">
      <c r="B3" s="4" t="s">
        <v>1</v>
      </c>
    </row>
    <row r="4" ht="14.25" customHeight="1"/>
    <row r="5" ht="21.75" customHeight="1">
      <c r="B5" s="5" t="s">
        <v>2</v>
      </c>
    </row>
    <row r="6" ht="31.5" customHeight="1">
      <c r="B6" s="6" t="s">
        <v>3</v>
      </c>
      <c r="C6" s="7" t="s">
        <v>4</v>
      </c>
    </row>
    <row r="7" ht="31.5" customHeight="1">
      <c r="B7" s="8" t="s">
        <v>5</v>
      </c>
      <c r="C7" s="9" t="s">
        <v>6</v>
      </c>
    </row>
    <row r="8" ht="31.5" customHeight="1">
      <c r="B8" s="10" t="s">
        <v>7</v>
      </c>
      <c r="C8" s="11" t="s">
        <v>8</v>
      </c>
    </row>
    <row r="9" ht="31.5" customHeight="1">
      <c r="B9" s="12" t="s">
        <v>9</v>
      </c>
      <c r="C9" s="13" t="s">
        <v>10</v>
      </c>
    </row>
    <row r="10" ht="14.25" customHeight="1"/>
    <row r="11" ht="21.75" customHeight="1">
      <c r="B11" s="14" t="s">
        <v>11</v>
      </c>
    </row>
    <row r="12" ht="24.0" customHeight="1">
      <c r="B12" s="15" t="s">
        <v>12</v>
      </c>
      <c r="C12" s="16"/>
      <c r="D12" s="17"/>
    </row>
    <row r="13" ht="24.0" customHeight="1">
      <c r="B13" s="15" t="s">
        <v>13</v>
      </c>
      <c r="C13" s="16"/>
      <c r="D13" s="17"/>
    </row>
    <row r="14" ht="24.0" customHeight="1">
      <c r="B14" s="15" t="s">
        <v>14</v>
      </c>
      <c r="C14" s="16"/>
      <c r="D14" s="17"/>
    </row>
    <row r="15" ht="24.0" customHeight="1">
      <c r="B15" s="15" t="s">
        <v>15</v>
      </c>
      <c r="C15" s="16"/>
      <c r="D15" s="17"/>
    </row>
    <row r="16" ht="24.0" customHeight="1">
      <c r="B16" s="15" t="s">
        <v>16</v>
      </c>
      <c r="C16" s="16"/>
      <c r="D16" s="17"/>
    </row>
    <row r="17" ht="24.0" customHeight="1">
      <c r="B17" s="15" t="s">
        <v>17</v>
      </c>
      <c r="C17" s="16"/>
      <c r="D17" s="17"/>
    </row>
    <row r="18" ht="14.25" customHeight="1"/>
    <row r="19" ht="21.75" customHeight="1">
      <c r="B19" s="5" t="s">
        <v>18</v>
      </c>
    </row>
    <row r="20" ht="21.75" customHeight="1">
      <c r="B20" s="18" t="s">
        <v>19</v>
      </c>
      <c r="C20" s="19">
        <f>COUNTA('🌊 Costa'!A3:A200)+COUNTA('⛰️ Sierra'!A3:A202)+COUNTA('🌿 Amazonía'!A3:A200)</f>
        <v>145</v>
      </c>
    </row>
    <row r="21" ht="21.75" customHeight="1">
      <c r="B21" s="18" t="s">
        <v>20</v>
      </c>
      <c r="C21" s="19">
        <f>COUNTIF('🌊 Costa'!E3:E200,"🟢 RÁPIDA")+COUNTIF('⛰️ Sierra'!E3:E202,"🟢 RÁPIDA")+COUNTIF('🌿 Amazonía'!E3:E200,"🟢 RÁPIDA")</f>
        <v>16</v>
      </c>
    </row>
    <row r="22" ht="21.75" customHeight="1">
      <c r="B22" s="18" t="s">
        <v>21</v>
      </c>
      <c r="C22" s="19">
        <f>COUNTIF('🌊 Costa'!E3:E200,"🟡 NORMAL")+COUNTIF('⛰️ Sierra'!E3:E202,"🟡 NORMAL")+COUNTIF('🌿 Amazonía'!E3:E200,"🟡 NORMAL")</f>
        <v>104</v>
      </c>
    </row>
    <row r="23" ht="21.75" customHeight="1">
      <c r="B23" s="18" t="s">
        <v>22</v>
      </c>
      <c r="C23" s="19">
        <f>COUNTIF('🌊 Costa'!E3:E200,"🔴 LENTO")+COUNTIF('⛰️ Sierra'!E3:E202,"🔴 LENTO")+COUNTIF('🌿 Amazonía'!E3:E200,"🔴 LENTO")</f>
        <v>6</v>
      </c>
    </row>
    <row r="24" ht="21.75" customHeight="1">
      <c r="B24" s="18" t="s">
        <v>23</v>
      </c>
      <c r="C24" s="19" t="s">
        <v>24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2:D2"/>
    <mergeCell ref="B3:D3"/>
    <mergeCell ref="B12:D12"/>
    <mergeCell ref="B13:D13"/>
    <mergeCell ref="B14:D14"/>
    <mergeCell ref="B15:D15"/>
    <mergeCell ref="B16:D16"/>
    <mergeCell ref="B17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22.14"/>
    <col customWidth="1" min="4" max="4" width="28.0"/>
    <col customWidth="1" min="5" max="5" width="14.0"/>
    <col customWidth="1" min="6" max="6" width="22.14"/>
    <col customWidth="1" min="7" max="7" width="14.0"/>
    <col customWidth="1" min="8" max="9" width="12.0"/>
    <col customWidth="1" min="10" max="10" width="45.14"/>
    <col customWidth="1" min="11" max="26" width="8.71"/>
  </cols>
  <sheetData>
    <row r="1" ht="18.0" customHeight="1">
      <c r="A1" s="20" t="s">
        <v>25</v>
      </c>
      <c r="B1" s="2"/>
      <c r="C1" s="2"/>
      <c r="D1" s="2"/>
      <c r="E1" s="2"/>
      <c r="F1" s="2"/>
      <c r="G1" s="2"/>
      <c r="H1" s="2"/>
      <c r="I1" s="2"/>
      <c r="J1" s="3"/>
    </row>
    <row r="2" ht="31.5" customHeight="1">
      <c r="A2" s="21" t="s">
        <v>26</v>
      </c>
      <c r="B2" s="21" t="s">
        <v>27</v>
      </c>
      <c r="C2" s="21" t="s">
        <v>28</v>
      </c>
      <c r="D2" s="21" t="s">
        <v>29</v>
      </c>
      <c r="E2" s="21" t="s">
        <v>30</v>
      </c>
      <c r="F2" s="21" t="s">
        <v>31</v>
      </c>
      <c r="G2" s="21" t="s">
        <v>32</v>
      </c>
      <c r="H2" s="21" t="s">
        <v>33</v>
      </c>
      <c r="I2" s="21" t="s">
        <v>34</v>
      </c>
      <c r="J2" s="21" t="s">
        <v>35</v>
      </c>
    </row>
    <row r="3" ht="27.75" customHeight="1">
      <c r="A3" s="22">
        <v>1.0</v>
      </c>
      <c r="B3" s="23" t="s">
        <v>36</v>
      </c>
      <c r="C3" s="23" t="s">
        <v>37</v>
      </c>
      <c r="D3" s="23" t="s">
        <v>38</v>
      </c>
      <c r="E3" s="22" t="s">
        <v>39</v>
      </c>
      <c r="F3" s="23" t="s">
        <v>40</v>
      </c>
      <c r="G3" s="22" t="s">
        <v>41</v>
      </c>
      <c r="H3" s="22" t="s">
        <v>42</v>
      </c>
      <c r="I3" s="22" t="s">
        <v>43</v>
      </c>
      <c r="J3" s="24" t="s">
        <v>44</v>
      </c>
    </row>
    <row r="4" ht="27.75" customHeight="1">
      <c r="A4" s="22">
        <v>2.0</v>
      </c>
      <c r="B4" s="23" t="s">
        <v>36</v>
      </c>
      <c r="C4" s="23" t="s">
        <v>45</v>
      </c>
      <c r="D4" s="23" t="s">
        <v>46</v>
      </c>
      <c r="E4" s="22" t="s">
        <v>39</v>
      </c>
      <c r="F4" s="23" t="s">
        <v>47</v>
      </c>
      <c r="G4" s="22" t="s">
        <v>41</v>
      </c>
      <c r="H4" s="22" t="s">
        <v>42</v>
      </c>
      <c r="I4" s="22" t="s">
        <v>48</v>
      </c>
      <c r="J4" s="24" t="s">
        <v>49</v>
      </c>
    </row>
    <row r="5" ht="27.75" customHeight="1">
      <c r="A5" s="22">
        <v>3.0</v>
      </c>
      <c r="B5" s="23" t="s">
        <v>36</v>
      </c>
      <c r="C5" s="23" t="s">
        <v>50</v>
      </c>
      <c r="D5" s="23" t="s">
        <v>51</v>
      </c>
      <c r="E5" s="22" t="s">
        <v>39</v>
      </c>
      <c r="F5" s="23" t="s">
        <v>40</v>
      </c>
      <c r="G5" s="22" t="s">
        <v>41</v>
      </c>
      <c r="H5" s="22" t="s">
        <v>42</v>
      </c>
      <c r="I5" s="22" t="s">
        <v>43</v>
      </c>
      <c r="J5" s="24" t="s">
        <v>52</v>
      </c>
    </row>
    <row r="6" ht="27.75" customHeight="1">
      <c r="A6" s="22">
        <v>4.0</v>
      </c>
      <c r="B6" s="23" t="s">
        <v>36</v>
      </c>
      <c r="C6" s="23" t="s">
        <v>53</v>
      </c>
      <c r="D6" s="23" t="s">
        <v>54</v>
      </c>
      <c r="E6" s="22" t="s">
        <v>39</v>
      </c>
      <c r="F6" s="23" t="s">
        <v>40</v>
      </c>
      <c r="G6" s="22" t="s">
        <v>41</v>
      </c>
      <c r="H6" s="22" t="s">
        <v>55</v>
      </c>
      <c r="I6" s="22" t="s">
        <v>43</v>
      </c>
      <c r="J6" s="24" t="s">
        <v>56</v>
      </c>
    </row>
    <row r="7" ht="27.75" customHeight="1">
      <c r="A7" s="22">
        <v>5.0</v>
      </c>
      <c r="B7" s="23" t="s">
        <v>36</v>
      </c>
      <c r="C7" s="23" t="s">
        <v>57</v>
      </c>
      <c r="D7" s="23" t="s">
        <v>58</v>
      </c>
      <c r="E7" s="22" t="s">
        <v>39</v>
      </c>
      <c r="F7" s="23" t="s">
        <v>40</v>
      </c>
      <c r="G7" s="22" t="s">
        <v>41</v>
      </c>
      <c r="H7" s="22" t="s">
        <v>42</v>
      </c>
      <c r="I7" s="22" t="s">
        <v>43</v>
      </c>
      <c r="J7" s="24" t="s">
        <v>59</v>
      </c>
    </row>
    <row r="8" ht="27.75" customHeight="1">
      <c r="A8" s="22">
        <v>6.0</v>
      </c>
      <c r="B8" s="23" t="s">
        <v>36</v>
      </c>
      <c r="C8" s="23" t="s">
        <v>60</v>
      </c>
      <c r="D8" s="23" t="s">
        <v>61</v>
      </c>
      <c r="E8" s="22" t="s">
        <v>39</v>
      </c>
      <c r="F8" s="23" t="s">
        <v>40</v>
      </c>
      <c r="G8" s="22" t="s">
        <v>41</v>
      </c>
      <c r="H8" s="22" t="s">
        <v>55</v>
      </c>
      <c r="I8" s="22" t="s">
        <v>43</v>
      </c>
      <c r="J8" s="24" t="s">
        <v>62</v>
      </c>
    </row>
    <row r="9" ht="27.75" customHeight="1">
      <c r="A9" s="25">
        <v>7.0</v>
      </c>
      <c r="B9" s="26" t="s">
        <v>63</v>
      </c>
      <c r="C9" s="26" t="s">
        <v>63</v>
      </c>
      <c r="D9" s="26" t="s">
        <v>64</v>
      </c>
      <c r="E9" s="25" t="s">
        <v>65</v>
      </c>
      <c r="F9" s="26" t="s">
        <v>66</v>
      </c>
      <c r="G9" s="25" t="s">
        <v>67</v>
      </c>
      <c r="H9" s="25" t="s">
        <v>42</v>
      </c>
      <c r="I9" s="25" t="s">
        <v>68</v>
      </c>
      <c r="J9" s="27" t="s">
        <v>69</v>
      </c>
    </row>
    <row r="10" ht="27.75" customHeight="1">
      <c r="A10" s="25">
        <v>8.0</v>
      </c>
      <c r="B10" s="26" t="s">
        <v>63</v>
      </c>
      <c r="C10" s="26" t="s">
        <v>63</v>
      </c>
      <c r="D10" s="26" t="s">
        <v>70</v>
      </c>
      <c r="E10" s="25" t="s">
        <v>65</v>
      </c>
      <c r="F10" s="26" t="s">
        <v>66</v>
      </c>
      <c r="G10" s="25" t="s">
        <v>67</v>
      </c>
      <c r="H10" s="25" t="s">
        <v>71</v>
      </c>
      <c r="I10" s="25" t="s">
        <v>68</v>
      </c>
      <c r="J10" s="27" t="s">
        <v>72</v>
      </c>
    </row>
    <row r="11" ht="27.75" customHeight="1">
      <c r="A11" s="25">
        <v>9.0</v>
      </c>
      <c r="B11" s="26" t="s">
        <v>63</v>
      </c>
      <c r="C11" s="26" t="s">
        <v>63</v>
      </c>
      <c r="D11" s="26" t="s">
        <v>73</v>
      </c>
      <c r="E11" s="25" t="s">
        <v>65</v>
      </c>
      <c r="F11" s="26" t="s">
        <v>66</v>
      </c>
      <c r="G11" s="25" t="s">
        <v>67</v>
      </c>
      <c r="H11" s="25" t="s">
        <v>71</v>
      </c>
      <c r="I11" s="25" t="s">
        <v>68</v>
      </c>
      <c r="J11" s="27" t="s">
        <v>72</v>
      </c>
    </row>
    <row r="12" ht="27.75" customHeight="1">
      <c r="A12" s="22">
        <v>10.0</v>
      </c>
      <c r="B12" s="23" t="s">
        <v>63</v>
      </c>
      <c r="C12" s="23" t="s">
        <v>63</v>
      </c>
      <c r="D12" s="23" t="s">
        <v>74</v>
      </c>
      <c r="E12" s="22" t="s">
        <v>39</v>
      </c>
      <c r="F12" s="23" t="s">
        <v>40</v>
      </c>
      <c r="G12" s="22" t="s">
        <v>41</v>
      </c>
      <c r="H12" s="22" t="s">
        <v>55</v>
      </c>
      <c r="I12" s="22" t="s">
        <v>43</v>
      </c>
      <c r="J12" s="24" t="s">
        <v>75</v>
      </c>
    </row>
    <row r="13" ht="27.75" customHeight="1">
      <c r="A13" s="22">
        <v>11.0</v>
      </c>
      <c r="B13" s="23" t="s">
        <v>63</v>
      </c>
      <c r="C13" s="23" t="s">
        <v>63</v>
      </c>
      <c r="D13" s="23" t="s">
        <v>76</v>
      </c>
      <c r="E13" s="22" t="s">
        <v>39</v>
      </c>
      <c r="F13" s="23" t="s">
        <v>47</v>
      </c>
      <c r="G13" s="22" t="s">
        <v>41</v>
      </c>
      <c r="H13" s="22" t="s">
        <v>42</v>
      </c>
      <c r="I13" s="22" t="s">
        <v>43</v>
      </c>
      <c r="J13" s="24" t="s">
        <v>77</v>
      </c>
    </row>
    <row r="14" ht="27.75" customHeight="1">
      <c r="A14" s="22">
        <v>12.0</v>
      </c>
      <c r="B14" s="23" t="s">
        <v>63</v>
      </c>
      <c r="C14" s="23" t="s">
        <v>78</v>
      </c>
      <c r="D14" s="23" t="s">
        <v>79</v>
      </c>
      <c r="E14" s="22" t="s">
        <v>39</v>
      </c>
      <c r="F14" s="23" t="s">
        <v>40</v>
      </c>
      <c r="G14" s="22" t="s">
        <v>41</v>
      </c>
      <c r="H14" s="22" t="s">
        <v>42</v>
      </c>
      <c r="I14" s="22" t="s">
        <v>43</v>
      </c>
      <c r="J14" s="24" t="s">
        <v>80</v>
      </c>
    </row>
    <row r="15" ht="27.75" customHeight="1">
      <c r="A15" s="22">
        <v>13.0</v>
      </c>
      <c r="B15" s="23" t="s">
        <v>63</v>
      </c>
      <c r="C15" s="23" t="s">
        <v>81</v>
      </c>
      <c r="D15" s="23" t="s">
        <v>82</v>
      </c>
      <c r="E15" s="22" t="s">
        <v>39</v>
      </c>
      <c r="F15" s="23" t="s">
        <v>40</v>
      </c>
      <c r="G15" s="22" t="s">
        <v>41</v>
      </c>
      <c r="H15" s="22" t="s">
        <v>55</v>
      </c>
      <c r="I15" s="22" t="s">
        <v>43</v>
      </c>
      <c r="J15" s="24" t="s">
        <v>83</v>
      </c>
    </row>
    <row r="16" ht="27.75" customHeight="1">
      <c r="A16" s="22">
        <v>14.0</v>
      </c>
      <c r="B16" s="23" t="s">
        <v>84</v>
      </c>
      <c r="C16" s="23" t="s">
        <v>85</v>
      </c>
      <c r="D16" s="23" t="s">
        <v>86</v>
      </c>
      <c r="E16" s="22" t="s">
        <v>39</v>
      </c>
      <c r="F16" s="23" t="s">
        <v>40</v>
      </c>
      <c r="G16" s="22" t="s">
        <v>41</v>
      </c>
      <c r="H16" s="22" t="s">
        <v>55</v>
      </c>
      <c r="I16" s="22" t="s">
        <v>43</v>
      </c>
      <c r="J16" s="24" t="s">
        <v>87</v>
      </c>
    </row>
    <row r="17" ht="27.75" customHeight="1">
      <c r="A17" s="22">
        <v>15.0</v>
      </c>
      <c r="B17" s="23" t="s">
        <v>84</v>
      </c>
      <c r="C17" s="23" t="s">
        <v>88</v>
      </c>
      <c r="D17" s="23" t="s">
        <v>89</v>
      </c>
      <c r="E17" s="22" t="s">
        <v>39</v>
      </c>
      <c r="F17" s="23" t="s">
        <v>47</v>
      </c>
      <c r="G17" s="22" t="s">
        <v>41</v>
      </c>
      <c r="H17" s="22" t="s">
        <v>90</v>
      </c>
      <c r="I17" s="22" t="s">
        <v>91</v>
      </c>
      <c r="J17" s="24" t="s">
        <v>92</v>
      </c>
    </row>
    <row r="18" ht="27.75" customHeight="1">
      <c r="A18" s="25">
        <v>16.0</v>
      </c>
      <c r="B18" s="26" t="s">
        <v>93</v>
      </c>
      <c r="C18" s="26" t="s">
        <v>94</v>
      </c>
      <c r="D18" s="26" t="s">
        <v>95</v>
      </c>
      <c r="E18" s="25" t="s">
        <v>65</v>
      </c>
      <c r="F18" s="26" t="s">
        <v>66</v>
      </c>
      <c r="G18" s="25" t="s">
        <v>67</v>
      </c>
      <c r="H18" s="25" t="s">
        <v>96</v>
      </c>
      <c r="I18" s="25" t="s">
        <v>68</v>
      </c>
      <c r="J18" s="27" t="s">
        <v>97</v>
      </c>
    </row>
    <row r="19" ht="27.75" customHeight="1">
      <c r="A19" s="22">
        <v>17.0</v>
      </c>
      <c r="B19" s="23" t="s">
        <v>93</v>
      </c>
      <c r="C19" s="23" t="s">
        <v>94</v>
      </c>
      <c r="D19" s="23" t="s">
        <v>98</v>
      </c>
      <c r="E19" s="22" t="s">
        <v>39</v>
      </c>
      <c r="F19" s="23" t="s">
        <v>47</v>
      </c>
      <c r="G19" s="22" t="s">
        <v>41</v>
      </c>
      <c r="H19" s="22" t="s">
        <v>96</v>
      </c>
      <c r="I19" s="22" t="s">
        <v>68</v>
      </c>
      <c r="J19" s="24" t="s">
        <v>99</v>
      </c>
    </row>
    <row r="20" ht="27.75" customHeight="1">
      <c r="A20" s="22">
        <v>18.0</v>
      </c>
      <c r="B20" s="23" t="s">
        <v>93</v>
      </c>
      <c r="C20" s="23" t="s">
        <v>94</v>
      </c>
      <c r="D20" s="23" t="s">
        <v>100</v>
      </c>
      <c r="E20" s="22" t="s">
        <v>39</v>
      </c>
      <c r="F20" s="23" t="s">
        <v>101</v>
      </c>
      <c r="G20" s="22" t="s">
        <v>41</v>
      </c>
      <c r="H20" s="22" t="s">
        <v>102</v>
      </c>
      <c r="I20" s="22" t="s">
        <v>43</v>
      </c>
      <c r="J20" s="24" t="s">
        <v>103</v>
      </c>
    </row>
    <row r="21" ht="27.75" customHeight="1">
      <c r="A21" s="22">
        <v>19.0</v>
      </c>
      <c r="B21" s="23" t="s">
        <v>93</v>
      </c>
      <c r="C21" s="23" t="s">
        <v>94</v>
      </c>
      <c r="D21" s="23" t="s">
        <v>104</v>
      </c>
      <c r="E21" s="22" t="s">
        <v>39</v>
      </c>
      <c r="F21" s="23" t="s">
        <v>105</v>
      </c>
      <c r="G21" s="22" t="s">
        <v>41</v>
      </c>
      <c r="H21" s="22" t="s">
        <v>102</v>
      </c>
      <c r="I21" s="22" t="s">
        <v>43</v>
      </c>
      <c r="J21" s="24" t="s">
        <v>106</v>
      </c>
    </row>
    <row r="22" ht="27.75" customHeight="1">
      <c r="A22" s="25">
        <v>20.0</v>
      </c>
      <c r="B22" s="26" t="s">
        <v>93</v>
      </c>
      <c r="C22" s="26" t="s">
        <v>94</v>
      </c>
      <c r="D22" s="26" t="s">
        <v>107</v>
      </c>
      <c r="E22" s="25" t="s">
        <v>65</v>
      </c>
      <c r="F22" s="26" t="s">
        <v>108</v>
      </c>
      <c r="G22" s="25" t="s">
        <v>109</v>
      </c>
      <c r="H22" s="25" t="s">
        <v>110</v>
      </c>
      <c r="I22" s="25" t="s">
        <v>68</v>
      </c>
      <c r="J22" s="27" t="s">
        <v>111</v>
      </c>
    </row>
    <row r="23" ht="27.75" customHeight="1">
      <c r="A23" s="25">
        <v>21.0</v>
      </c>
      <c r="B23" s="26" t="s">
        <v>93</v>
      </c>
      <c r="C23" s="26" t="s">
        <v>94</v>
      </c>
      <c r="D23" s="26" t="s">
        <v>112</v>
      </c>
      <c r="E23" s="25" t="s">
        <v>65</v>
      </c>
      <c r="F23" s="26" t="s">
        <v>113</v>
      </c>
      <c r="G23" s="25" t="s">
        <v>114</v>
      </c>
      <c r="H23" s="25" t="s">
        <v>115</v>
      </c>
      <c r="I23" s="25" t="s">
        <v>68</v>
      </c>
      <c r="J23" s="27" t="s">
        <v>116</v>
      </c>
    </row>
    <row r="24" ht="27.75" customHeight="1">
      <c r="A24" s="22">
        <v>22.0</v>
      </c>
      <c r="B24" s="23" t="s">
        <v>93</v>
      </c>
      <c r="C24" s="23" t="s">
        <v>117</v>
      </c>
      <c r="D24" s="23" t="s">
        <v>118</v>
      </c>
      <c r="E24" s="22" t="s">
        <v>39</v>
      </c>
      <c r="F24" s="23" t="s">
        <v>105</v>
      </c>
      <c r="G24" s="22" t="s">
        <v>41</v>
      </c>
      <c r="H24" s="22" t="s">
        <v>42</v>
      </c>
      <c r="I24" s="22" t="s">
        <v>43</v>
      </c>
      <c r="J24" s="24" t="s">
        <v>119</v>
      </c>
    </row>
    <row r="25" ht="27.75" customHeight="1">
      <c r="A25" s="22">
        <v>23.0</v>
      </c>
      <c r="B25" s="23" t="s">
        <v>93</v>
      </c>
      <c r="C25" s="23" t="s">
        <v>117</v>
      </c>
      <c r="D25" s="23" t="s">
        <v>120</v>
      </c>
      <c r="E25" s="22" t="s">
        <v>39</v>
      </c>
      <c r="F25" s="23" t="s">
        <v>47</v>
      </c>
      <c r="G25" s="22" t="s">
        <v>41</v>
      </c>
      <c r="H25" s="22" t="s">
        <v>121</v>
      </c>
      <c r="I25" s="22" t="s">
        <v>68</v>
      </c>
      <c r="J25" s="24" t="s">
        <v>122</v>
      </c>
    </row>
    <row r="26" ht="27.75" customHeight="1">
      <c r="A26" s="28">
        <v>24.0</v>
      </c>
      <c r="B26" s="29" t="s">
        <v>93</v>
      </c>
      <c r="C26" s="29" t="s">
        <v>123</v>
      </c>
      <c r="D26" s="29" t="s">
        <v>124</v>
      </c>
      <c r="E26" s="28" t="s">
        <v>125</v>
      </c>
      <c r="F26" s="29" t="s">
        <v>47</v>
      </c>
      <c r="G26" s="28" t="s">
        <v>41</v>
      </c>
      <c r="H26" s="28" t="s">
        <v>126</v>
      </c>
      <c r="I26" s="28" t="s">
        <v>91</v>
      </c>
      <c r="J26" s="30" t="s">
        <v>92</v>
      </c>
    </row>
    <row r="27" ht="27.75" customHeight="1">
      <c r="A27" s="28">
        <v>25.0</v>
      </c>
      <c r="B27" s="29" t="s">
        <v>93</v>
      </c>
      <c r="C27" s="29" t="s">
        <v>127</v>
      </c>
      <c r="D27" s="29" t="s">
        <v>128</v>
      </c>
      <c r="E27" s="28" t="s">
        <v>125</v>
      </c>
      <c r="F27" s="29" t="s">
        <v>47</v>
      </c>
      <c r="G27" s="28" t="s">
        <v>41</v>
      </c>
      <c r="H27" s="28" t="s">
        <v>90</v>
      </c>
      <c r="I27" s="28" t="s">
        <v>91</v>
      </c>
      <c r="J27" s="30" t="s">
        <v>92</v>
      </c>
    </row>
    <row r="28" ht="27.75" customHeight="1">
      <c r="A28" s="22">
        <v>26.0</v>
      </c>
      <c r="B28" s="23" t="s">
        <v>93</v>
      </c>
      <c r="C28" s="23" t="s">
        <v>127</v>
      </c>
      <c r="D28" s="23" t="s">
        <v>129</v>
      </c>
      <c r="E28" s="22" t="s">
        <v>39</v>
      </c>
      <c r="F28" s="23" t="s">
        <v>47</v>
      </c>
      <c r="G28" s="22" t="s">
        <v>41</v>
      </c>
      <c r="H28" s="22" t="s">
        <v>130</v>
      </c>
      <c r="I28" s="22" t="s">
        <v>43</v>
      </c>
      <c r="J28" s="24" t="s">
        <v>131</v>
      </c>
    </row>
    <row r="29" ht="27.75" customHeight="1">
      <c r="A29" s="22">
        <v>27.0</v>
      </c>
      <c r="B29" s="23" t="s">
        <v>93</v>
      </c>
      <c r="C29" s="23" t="s">
        <v>127</v>
      </c>
      <c r="D29" s="23" t="s">
        <v>132</v>
      </c>
      <c r="E29" s="22" t="s">
        <v>39</v>
      </c>
      <c r="F29" s="23" t="s">
        <v>133</v>
      </c>
      <c r="G29" s="22" t="s">
        <v>134</v>
      </c>
      <c r="H29" s="22" t="s">
        <v>135</v>
      </c>
      <c r="I29" s="22" t="s">
        <v>43</v>
      </c>
      <c r="J29" s="24" t="s">
        <v>136</v>
      </c>
    </row>
    <row r="30" ht="27.75" customHeight="1">
      <c r="A30" s="22">
        <v>28.0</v>
      </c>
      <c r="B30" s="23" t="s">
        <v>93</v>
      </c>
      <c r="C30" s="23" t="s">
        <v>127</v>
      </c>
      <c r="D30" s="23" t="s">
        <v>137</v>
      </c>
      <c r="E30" s="22" t="s">
        <v>39</v>
      </c>
      <c r="F30" s="23" t="s">
        <v>47</v>
      </c>
      <c r="G30" s="22" t="s">
        <v>41</v>
      </c>
      <c r="H30" s="22" t="s">
        <v>138</v>
      </c>
      <c r="I30" s="22" t="s">
        <v>43</v>
      </c>
      <c r="J30" s="24" t="s">
        <v>131</v>
      </c>
    </row>
    <row r="31" ht="27.75" customHeight="1">
      <c r="A31" s="22">
        <v>29.0</v>
      </c>
      <c r="B31" s="23" t="s">
        <v>93</v>
      </c>
      <c r="C31" s="23" t="s">
        <v>127</v>
      </c>
      <c r="D31" s="23" t="s">
        <v>139</v>
      </c>
      <c r="E31" s="22" t="s">
        <v>39</v>
      </c>
      <c r="F31" s="23" t="s">
        <v>47</v>
      </c>
      <c r="G31" s="22" t="s">
        <v>134</v>
      </c>
      <c r="H31" s="22" t="s">
        <v>42</v>
      </c>
      <c r="I31" s="22" t="s">
        <v>43</v>
      </c>
      <c r="J31" s="24" t="s">
        <v>140</v>
      </c>
    </row>
    <row r="32" ht="27.75" customHeight="1">
      <c r="A32" s="28">
        <v>30.0</v>
      </c>
      <c r="B32" s="29" t="s">
        <v>93</v>
      </c>
      <c r="C32" s="29" t="s">
        <v>141</v>
      </c>
      <c r="D32" s="29" t="s">
        <v>142</v>
      </c>
      <c r="E32" s="28" t="s">
        <v>125</v>
      </c>
      <c r="F32" s="29" t="s">
        <v>47</v>
      </c>
      <c r="G32" s="28" t="s">
        <v>41</v>
      </c>
      <c r="H32" s="28" t="s">
        <v>90</v>
      </c>
      <c r="I32" s="28" t="s">
        <v>91</v>
      </c>
      <c r="J32" s="30" t="s">
        <v>92</v>
      </c>
    </row>
    <row r="33" ht="27.75" customHeight="1">
      <c r="A33" s="22">
        <v>31.0</v>
      </c>
      <c r="B33" s="23" t="s">
        <v>93</v>
      </c>
      <c r="C33" s="23" t="s">
        <v>141</v>
      </c>
      <c r="D33" s="23" t="s">
        <v>143</v>
      </c>
      <c r="E33" s="22" t="s">
        <v>39</v>
      </c>
      <c r="F33" s="23" t="s">
        <v>47</v>
      </c>
      <c r="G33" s="22" t="s">
        <v>41</v>
      </c>
      <c r="H33" s="22" t="s">
        <v>144</v>
      </c>
      <c r="I33" s="22" t="s">
        <v>43</v>
      </c>
      <c r="J33" s="24" t="s">
        <v>145</v>
      </c>
    </row>
    <row r="34" ht="27.75" customHeight="1">
      <c r="A34" s="22">
        <v>32.0</v>
      </c>
      <c r="B34" s="23" t="s">
        <v>93</v>
      </c>
      <c r="C34" s="23" t="s">
        <v>141</v>
      </c>
      <c r="D34" s="23" t="s">
        <v>146</v>
      </c>
      <c r="E34" s="22" t="s">
        <v>39</v>
      </c>
      <c r="F34" s="23" t="s">
        <v>147</v>
      </c>
      <c r="G34" s="22" t="s">
        <v>148</v>
      </c>
      <c r="H34" s="22" t="s">
        <v>42</v>
      </c>
      <c r="I34" s="22" t="s">
        <v>43</v>
      </c>
      <c r="J34" s="24" t="s">
        <v>149</v>
      </c>
    </row>
    <row r="35" ht="27.75" customHeight="1">
      <c r="A35" s="22">
        <v>33.0</v>
      </c>
      <c r="B35" s="23" t="s">
        <v>93</v>
      </c>
      <c r="C35" s="23" t="s">
        <v>141</v>
      </c>
      <c r="D35" s="23" t="s">
        <v>150</v>
      </c>
      <c r="E35" s="22" t="s">
        <v>39</v>
      </c>
      <c r="F35" s="23" t="s">
        <v>151</v>
      </c>
      <c r="G35" s="22" t="s">
        <v>148</v>
      </c>
      <c r="H35" s="22" t="s">
        <v>42</v>
      </c>
      <c r="I35" s="22" t="s">
        <v>43</v>
      </c>
      <c r="J35" s="24" t="s">
        <v>152</v>
      </c>
    </row>
    <row r="36" ht="27.75" customHeight="1">
      <c r="A36" s="22">
        <v>34.0</v>
      </c>
      <c r="B36" s="23" t="s">
        <v>153</v>
      </c>
      <c r="C36" s="23" t="s">
        <v>154</v>
      </c>
      <c r="D36" s="23" t="s">
        <v>155</v>
      </c>
      <c r="E36" s="22" t="s">
        <v>39</v>
      </c>
      <c r="F36" s="23" t="s">
        <v>40</v>
      </c>
      <c r="G36" s="22" t="s">
        <v>41</v>
      </c>
      <c r="H36" s="22" t="s">
        <v>156</v>
      </c>
      <c r="I36" s="22" t="s">
        <v>43</v>
      </c>
      <c r="J36" s="24" t="s">
        <v>157</v>
      </c>
    </row>
    <row r="37" ht="27.75" customHeight="1">
      <c r="A37" s="28">
        <v>35.0</v>
      </c>
      <c r="B37" s="29" t="s">
        <v>93</v>
      </c>
      <c r="C37" s="29" t="s">
        <v>158</v>
      </c>
      <c r="D37" s="29" t="s">
        <v>142</v>
      </c>
      <c r="E37" s="28" t="s">
        <v>125</v>
      </c>
      <c r="F37" s="29" t="s">
        <v>47</v>
      </c>
      <c r="G37" s="28" t="s">
        <v>41</v>
      </c>
      <c r="H37" s="28" t="s">
        <v>90</v>
      </c>
      <c r="I37" s="28" t="s">
        <v>91</v>
      </c>
      <c r="J37" s="30" t="s">
        <v>92</v>
      </c>
    </row>
    <row r="38" ht="27.75" customHeight="1">
      <c r="A38" s="28">
        <v>36.0</v>
      </c>
      <c r="B38" s="29" t="s">
        <v>159</v>
      </c>
      <c r="C38" s="29" t="s">
        <v>159</v>
      </c>
      <c r="D38" s="29" t="s">
        <v>142</v>
      </c>
      <c r="E38" s="28" t="s">
        <v>125</v>
      </c>
      <c r="F38" s="29" t="s">
        <v>47</v>
      </c>
      <c r="G38" s="28" t="s">
        <v>41</v>
      </c>
      <c r="H38" s="28" t="s">
        <v>90</v>
      </c>
      <c r="I38" s="28" t="s">
        <v>91</v>
      </c>
      <c r="J38" s="30" t="s">
        <v>92</v>
      </c>
    </row>
    <row r="39" ht="27.75" customHeight="1">
      <c r="A39" s="22">
        <v>37.0</v>
      </c>
      <c r="B39" s="23" t="s">
        <v>159</v>
      </c>
      <c r="C39" s="23" t="s">
        <v>159</v>
      </c>
      <c r="D39" s="23" t="s">
        <v>160</v>
      </c>
      <c r="E39" s="22" t="s">
        <v>39</v>
      </c>
      <c r="F39" s="23" t="s">
        <v>40</v>
      </c>
      <c r="G39" s="22" t="s">
        <v>41</v>
      </c>
      <c r="H39" s="22" t="s">
        <v>156</v>
      </c>
      <c r="I39" s="22" t="s">
        <v>43</v>
      </c>
      <c r="J39" s="24" t="s">
        <v>161</v>
      </c>
    </row>
    <row r="40" ht="27.75" customHeight="1">
      <c r="A40" s="22">
        <v>38.0</v>
      </c>
      <c r="B40" s="23" t="s">
        <v>159</v>
      </c>
      <c r="C40" s="23" t="s">
        <v>159</v>
      </c>
      <c r="D40" s="23" t="s">
        <v>162</v>
      </c>
      <c r="E40" s="22" t="s">
        <v>39</v>
      </c>
      <c r="F40" s="23" t="s">
        <v>47</v>
      </c>
      <c r="G40" s="22" t="s">
        <v>41</v>
      </c>
      <c r="H40" s="22" t="s">
        <v>42</v>
      </c>
      <c r="I40" s="22" t="s">
        <v>43</v>
      </c>
      <c r="J40" s="24" t="s">
        <v>163</v>
      </c>
    </row>
    <row r="41" ht="27.75" customHeight="1">
      <c r="A41" s="31">
        <v>39.0</v>
      </c>
      <c r="B41" s="32" t="s">
        <v>159</v>
      </c>
      <c r="C41" s="32" t="s">
        <v>164</v>
      </c>
      <c r="D41" s="32" t="s">
        <v>165</v>
      </c>
      <c r="E41" s="31" t="s">
        <v>166</v>
      </c>
      <c r="F41" s="32" t="s">
        <v>167</v>
      </c>
      <c r="G41" s="31" t="s">
        <v>168</v>
      </c>
      <c r="H41" s="31" t="s">
        <v>42</v>
      </c>
      <c r="I41" s="31" t="s">
        <v>43</v>
      </c>
      <c r="J41" s="33" t="s">
        <v>169</v>
      </c>
    </row>
    <row r="42" ht="27.75" customHeight="1">
      <c r="A42" s="31">
        <v>40.0</v>
      </c>
      <c r="B42" s="32" t="s">
        <v>159</v>
      </c>
      <c r="C42" s="32" t="s">
        <v>170</v>
      </c>
      <c r="D42" s="32" t="s">
        <v>171</v>
      </c>
      <c r="E42" s="31" t="s">
        <v>166</v>
      </c>
      <c r="F42" s="32" t="s">
        <v>167</v>
      </c>
      <c r="G42" s="31" t="s">
        <v>168</v>
      </c>
      <c r="H42" s="31" t="s">
        <v>42</v>
      </c>
      <c r="I42" s="31" t="s">
        <v>43</v>
      </c>
      <c r="J42" s="33" t="s">
        <v>172</v>
      </c>
    </row>
    <row r="43" ht="27.75" customHeight="1">
      <c r="A43" s="31">
        <v>41.0</v>
      </c>
      <c r="B43" s="32" t="s">
        <v>159</v>
      </c>
      <c r="C43" s="32" t="s">
        <v>170</v>
      </c>
      <c r="D43" s="32" t="s">
        <v>173</v>
      </c>
      <c r="E43" s="31" t="s">
        <v>166</v>
      </c>
      <c r="F43" s="32" t="s">
        <v>167</v>
      </c>
      <c r="G43" s="31" t="s">
        <v>168</v>
      </c>
      <c r="H43" s="31" t="s">
        <v>42</v>
      </c>
      <c r="I43" s="31" t="s">
        <v>43</v>
      </c>
      <c r="J43" s="33" t="s">
        <v>174</v>
      </c>
    </row>
    <row r="44" ht="27.75" customHeight="1">
      <c r="A44" s="22">
        <v>42.0</v>
      </c>
      <c r="B44" s="23" t="s">
        <v>159</v>
      </c>
      <c r="C44" s="23" t="s">
        <v>175</v>
      </c>
      <c r="D44" s="23" t="s">
        <v>176</v>
      </c>
      <c r="E44" s="22" t="s">
        <v>39</v>
      </c>
      <c r="F44" s="23" t="s">
        <v>177</v>
      </c>
      <c r="G44" s="22" t="s">
        <v>134</v>
      </c>
      <c r="H44" s="22" t="s">
        <v>42</v>
      </c>
      <c r="I44" s="22" t="s">
        <v>43</v>
      </c>
      <c r="J44" s="24" t="s">
        <v>178</v>
      </c>
    </row>
    <row r="45" ht="27.75" customHeight="1">
      <c r="A45" s="22">
        <v>43.0</v>
      </c>
      <c r="B45" s="23" t="s">
        <v>159</v>
      </c>
      <c r="C45" s="23" t="s">
        <v>175</v>
      </c>
      <c r="D45" s="23" t="s">
        <v>179</v>
      </c>
      <c r="E45" s="22" t="s">
        <v>39</v>
      </c>
      <c r="F45" s="23" t="s">
        <v>40</v>
      </c>
      <c r="G45" s="22" t="s">
        <v>41</v>
      </c>
      <c r="H45" s="22" t="s">
        <v>156</v>
      </c>
      <c r="I45" s="22" t="s">
        <v>43</v>
      </c>
      <c r="J45" s="24" t="s">
        <v>180</v>
      </c>
    </row>
    <row r="46" ht="27.75" customHeight="1">
      <c r="A46" s="25">
        <v>44.0</v>
      </c>
      <c r="B46" s="26" t="s">
        <v>159</v>
      </c>
      <c r="C46" s="26" t="s">
        <v>175</v>
      </c>
      <c r="D46" s="26" t="s">
        <v>181</v>
      </c>
      <c r="E46" s="25" t="s">
        <v>65</v>
      </c>
      <c r="F46" s="26" t="s">
        <v>182</v>
      </c>
      <c r="G46" s="25" t="s">
        <v>183</v>
      </c>
      <c r="H46" s="25" t="s">
        <v>115</v>
      </c>
      <c r="I46" s="25" t="s">
        <v>68</v>
      </c>
      <c r="J46" s="27" t="s">
        <v>184</v>
      </c>
    </row>
    <row r="47" ht="27.75" customHeight="1">
      <c r="A47" s="22">
        <v>45.0</v>
      </c>
      <c r="B47" s="23" t="s">
        <v>159</v>
      </c>
      <c r="C47" s="23" t="s">
        <v>175</v>
      </c>
      <c r="D47" s="23" t="s">
        <v>185</v>
      </c>
      <c r="E47" s="22" t="s">
        <v>39</v>
      </c>
      <c r="F47" s="23" t="s">
        <v>47</v>
      </c>
      <c r="G47" s="22" t="s">
        <v>41</v>
      </c>
      <c r="H47" s="22" t="s">
        <v>42</v>
      </c>
      <c r="I47" s="22" t="s">
        <v>43</v>
      </c>
      <c r="J47" s="24" t="s">
        <v>186</v>
      </c>
    </row>
    <row r="48" ht="27.75" customHeight="1">
      <c r="A48" s="22">
        <v>46.0</v>
      </c>
      <c r="B48" s="23" t="s">
        <v>159</v>
      </c>
      <c r="C48" s="23" t="s">
        <v>187</v>
      </c>
      <c r="D48" s="23" t="s">
        <v>188</v>
      </c>
      <c r="E48" s="22" t="s">
        <v>39</v>
      </c>
      <c r="F48" s="23" t="s">
        <v>47</v>
      </c>
      <c r="G48" s="22" t="s">
        <v>41</v>
      </c>
      <c r="H48" s="22" t="s">
        <v>42</v>
      </c>
      <c r="I48" s="22" t="s">
        <v>43</v>
      </c>
      <c r="J48" s="24" t="s">
        <v>189</v>
      </c>
    </row>
    <row r="49" ht="27.75" customHeight="1">
      <c r="A49" s="22">
        <v>47.0</v>
      </c>
      <c r="B49" s="23" t="s">
        <v>190</v>
      </c>
      <c r="C49" s="23" t="s">
        <v>191</v>
      </c>
      <c r="D49" s="23" t="s">
        <v>192</v>
      </c>
      <c r="E49" s="22" t="s">
        <v>39</v>
      </c>
      <c r="F49" s="23" t="s">
        <v>40</v>
      </c>
      <c r="G49" s="22" t="s">
        <v>41</v>
      </c>
      <c r="H49" s="22" t="s">
        <v>156</v>
      </c>
      <c r="I49" s="22" t="s">
        <v>43</v>
      </c>
      <c r="J49" s="24" t="s">
        <v>193</v>
      </c>
    </row>
    <row r="50" ht="27.75" customHeight="1">
      <c r="A50" s="22">
        <v>48.0</v>
      </c>
      <c r="B50" s="23" t="s">
        <v>190</v>
      </c>
      <c r="C50" s="23" t="s">
        <v>191</v>
      </c>
      <c r="D50" s="23" t="s">
        <v>194</v>
      </c>
      <c r="E50" s="22" t="s">
        <v>39</v>
      </c>
      <c r="F50" s="23" t="s">
        <v>40</v>
      </c>
      <c r="G50" s="22" t="s">
        <v>41</v>
      </c>
      <c r="H50" s="22" t="s">
        <v>156</v>
      </c>
      <c r="I50" s="22" t="s">
        <v>43</v>
      </c>
      <c r="J50" s="24" t="s">
        <v>195</v>
      </c>
    </row>
    <row r="51" ht="27.75" customHeight="1">
      <c r="A51" s="22">
        <v>49.0</v>
      </c>
      <c r="B51" s="23" t="s">
        <v>190</v>
      </c>
      <c r="C51" s="23" t="s">
        <v>196</v>
      </c>
      <c r="D51" s="23" t="s">
        <v>197</v>
      </c>
      <c r="E51" s="22" t="s">
        <v>39</v>
      </c>
      <c r="F51" s="23" t="s">
        <v>47</v>
      </c>
      <c r="G51" s="22" t="s">
        <v>41</v>
      </c>
      <c r="H51" s="22" t="s">
        <v>96</v>
      </c>
      <c r="I51" s="22" t="s">
        <v>68</v>
      </c>
      <c r="J51" s="24" t="s">
        <v>198</v>
      </c>
    </row>
    <row r="52" ht="27.75" customHeight="1">
      <c r="A52" s="22">
        <v>50.0</v>
      </c>
      <c r="B52" s="23" t="s">
        <v>190</v>
      </c>
      <c r="C52" s="23" t="s">
        <v>196</v>
      </c>
      <c r="D52" s="23" t="s">
        <v>181</v>
      </c>
      <c r="E52" s="22" t="s">
        <v>39</v>
      </c>
      <c r="F52" s="23" t="s">
        <v>199</v>
      </c>
      <c r="G52" s="22" t="s">
        <v>41</v>
      </c>
      <c r="H52" s="22" t="s">
        <v>135</v>
      </c>
      <c r="I52" s="22" t="s">
        <v>68</v>
      </c>
      <c r="J52" s="24" t="s">
        <v>200</v>
      </c>
    </row>
    <row r="53" ht="27.75" customHeight="1">
      <c r="A53" s="22">
        <v>51.0</v>
      </c>
      <c r="B53" s="23" t="s">
        <v>190</v>
      </c>
      <c r="C53" s="23" t="s">
        <v>196</v>
      </c>
      <c r="D53" s="23" t="s">
        <v>201</v>
      </c>
      <c r="E53" s="22" t="s">
        <v>39</v>
      </c>
      <c r="F53" s="23" t="s">
        <v>47</v>
      </c>
      <c r="G53" s="22" t="s">
        <v>41</v>
      </c>
      <c r="H53" s="22" t="s">
        <v>42</v>
      </c>
      <c r="I53" s="22" t="s">
        <v>43</v>
      </c>
      <c r="J53" s="24" t="s">
        <v>202</v>
      </c>
    </row>
    <row r="54" ht="27.75" customHeight="1">
      <c r="A54" s="28">
        <v>52.0</v>
      </c>
      <c r="B54" s="29" t="s">
        <v>190</v>
      </c>
      <c r="C54" s="29" t="s">
        <v>196</v>
      </c>
      <c r="D54" s="29" t="s">
        <v>142</v>
      </c>
      <c r="E54" s="28" t="s">
        <v>125</v>
      </c>
      <c r="F54" s="29" t="s">
        <v>47</v>
      </c>
      <c r="G54" s="28" t="s">
        <v>41</v>
      </c>
      <c r="H54" s="28" t="s">
        <v>90</v>
      </c>
      <c r="I54" s="28" t="s">
        <v>91</v>
      </c>
      <c r="J54" s="30" t="s">
        <v>92</v>
      </c>
    </row>
    <row r="55" ht="27.75" customHeight="1">
      <c r="A55" s="22">
        <v>53.0</v>
      </c>
      <c r="B55" s="23" t="s">
        <v>190</v>
      </c>
      <c r="C55" s="23" t="s">
        <v>196</v>
      </c>
      <c r="D55" s="23" t="s">
        <v>203</v>
      </c>
      <c r="E55" s="22" t="s">
        <v>39</v>
      </c>
      <c r="F55" s="23" t="s">
        <v>40</v>
      </c>
      <c r="G55" s="22" t="s">
        <v>41</v>
      </c>
      <c r="H55" s="22" t="s">
        <v>42</v>
      </c>
      <c r="I55" s="22" t="s">
        <v>43</v>
      </c>
      <c r="J55" s="24" t="s">
        <v>204</v>
      </c>
    </row>
    <row r="56" ht="27.75" customHeight="1">
      <c r="A56" s="22">
        <v>54.0</v>
      </c>
      <c r="B56" s="23" t="s">
        <v>190</v>
      </c>
      <c r="C56" s="23" t="s">
        <v>205</v>
      </c>
      <c r="D56" s="23" t="s">
        <v>206</v>
      </c>
      <c r="E56" s="22" t="s">
        <v>39</v>
      </c>
      <c r="F56" s="23" t="s">
        <v>40</v>
      </c>
      <c r="G56" s="22" t="s">
        <v>41</v>
      </c>
      <c r="H56" s="22" t="s">
        <v>42</v>
      </c>
      <c r="I56" s="22" t="s">
        <v>43</v>
      </c>
      <c r="J56" s="24" t="s">
        <v>207</v>
      </c>
    </row>
    <row r="57" ht="27.75" customHeight="1">
      <c r="A57" s="22">
        <v>55.0</v>
      </c>
      <c r="B57" s="23" t="s">
        <v>208</v>
      </c>
      <c r="C57" s="23" t="s">
        <v>209</v>
      </c>
      <c r="D57" s="23" t="s">
        <v>210</v>
      </c>
      <c r="E57" s="22" t="s">
        <v>39</v>
      </c>
      <c r="F57" s="23" t="s">
        <v>47</v>
      </c>
      <c r="G57" s="22" t="s">
        <v>41</v>
      </c>
      <c r="H57" s="22" t="s">
        <v>211</v>
      </c>
      <c r="I57" s="22" t="s">
        <v>43</v>
      </c>
      <c r="J57" s="24" t="s">
        <v>212</v>
      </c>
    </row>
    <row r="58" ht="27.75" customHeight="1">
      <c r="A58" s="28">
        <v>56.0</v>
      </c>
      <c r="B58" s="29" t="s">
        <v>208</v>
      </c>
      <c r="C58" s="29" t="s">
        <v>209</v>
      </c>
      <c r="D58" s="29" t="s">
        <v>213</v>
      </c>
      <c r="E58" s="28" t="s">
        <v>125</v>
      </c>
      <c r="F58" s="29" t="s">
        <v>47</v>
      </c>
      <c r="G58" s="28" t="s">
        <v>41</v>
      </c>
      <c r="H58" s="28" t="s">
        <v>90</v>
      </c>
      <c r="I58" s="28" t="s">
        <v>91</v>
      </c>
      <c r="J58" s="30" t="s">
        <v>92</v>
      </c>
    </row>
    <row r="59" ht="27.75" customHeight="1">
      <c r="A59" s="25">
        <v>57.0</v>
      </c>
      <c r="B59" s="26" t="s">
        <v>208</v>
      </c>
      <c r="C59" s="26" t="s">
        <v>209</v>
      </c>
      <c r="D59" s="26" t="s">
        <v>214</v>
      </c>
      <c r="E59" s="25" t="s">
        <v>65</v>
      </c>
      <c r="F59" s="26" t="s">
        <v>182</v>
      </c>
      <c r="G59" s="25" t="s">
        <v>183</v>
      </c>
      <c r="H59" s="25" t="s">
        <v>135</v>
      </c>
      <c r="I59" s="25" t="s">
        <v>68</v>
      </c>
      <c r="J59" s="27" t="s">
        <v>215</v>
      </c>
    </row>
    <row r="60" ht="27.75" customHeight="1">
      <c r="A60" s="22">
        <v>58.0</v>
      </c>
      <c r="B60" s="23" t="s">
        <v>208</v>
      </c>
      <c r="C60" s="23" t="s">
        <v>216</v>
      </c>
      <c r="D60" s="23" t="s">
        <v>217</v>
      </c>
      <c r="E60" s="22" t="s">
        <v>39</v>
      </c>
      <c r="F60" s="23" t="s">
        <v>47</v>
      </c>
      <c r="G60" s="22" t="s">
        <v>41</v>
      </c>
      <c r="H60" s="22" t="s">
        <v>42</v>
      </c>
      <c r="I60" s="22" t="s">
        <v>43</v>
      </c>
      <c r="J60" s="24" t="s">
        <v>218</v>
      </c>
    </row>
    <row r="61" ht="27.75" customHeight="1">
      <c r="A61" s="28">
        <v>59.0</v>
      </c>
      <c r="B61" s="29" t="s">
        <v>208</v>
      </c>
      <c r="C61" s="29" t="s">
        <v>219</v>
      </c>
      <c r="D61" s="29" t="s">
        <v>142</v>
      </c>
      <c r="E61" s="28" t="s">
        <v>125</v>
      </c>
      <c r="F61" s="29" t="s">
        <v>40</v>
      </c>
      <c r="G61" s="28" t="s">
        <v>41</v>
      </c>
      <c r="H61" s="28" t="s">
        <v>90</v>
      </c>
      <c r="I61" s="28" t="s">
        <v>91</v>
      </c>
      <c r="J61" s="30" t="s">
        <v>92</v>
      </c>
    </row>
    <row r="62" ht="27.75" customHeight="1">
      <c r="A62" s="22">
        <v>60.0</v>
      </c>
      <c r="B62" s="23" t="s">
        <v>208</v>
      </c>
      <c r="C62" s="23" t="s">
        <v>220</v>
      </c>
      <c r="D62" s="23" t="s">
        <v>221</v>
      </c>
      <c r="E62" s="22" t="s">
        <v>39</v>
      </c>
      <c r="F62" s="23" t="s">
        <v>40</v>
      </c>
      <c r="G62" s="22" t="s">
        <v>41</v>
      </c>
      <c r="H62" s="22" t="s">
        <v>55</v>
      </c>
      <c r="I62" s="22" t="s">
        <v>43</v>
      </c>
      <c r="J62" s="24" t="s">
        <v>222</v>
      </c>
    </row>
    <row r="63" ht="27.75" customHeight="1">
      <c r="A63" s="22">
        <v>61.0</v>
      </c>
      <c r="B63" s="23" t="s">
        <v>208</v>
      </c>
      <c r="C63" s="23" t="s">
        <v>220</v>
      </c>
      <c r="D63" s="23" t="s">
        <v>223</v>
      </c>
      <c r="E63" s="22" t="s">
        <v>39</v>
      </c>
      <c r="F63" s="23" t="s">
        <v>47</v>
      </c>
      <c r="G63" s="22" t="s">
        <v>41</v>
      </c>
      <c r="H63" s="22" t="s">
        <v>42</v>
      </c>
      <c r="I63" s="22" t="s">
        <v>43</v>
      </c>
      <c r="J63" s="24" t="s">
        <v>224</v>
      </c>
    </row>
    <row r="64" ht="27.75" customHeight="1">
      <c r="A64" s="28">
        <v>62.0</v>
      </c>
      <c r="B64" s="29" t="s">
        <v>208</v>
      </c>
      <c r="C64" s="29" t="s">
        <v>220</v>
      </c>
      <c r="D64" s="29" t="s">
        <v>142</v>
      </c>
      <c r="E64" s="28" t="s">
        <v>125</v>
      </c>
      <c r="F64" s="29" t="s">
        <v>40</v>
      </c>
      <c r="G64" s="28" t="s">
        <v>41</v>
      </c>
      <c r="H64" s="28" t="s">
        <v>90</v>
      </c>
      <c r="I64" s="28" t="s">
        <v>91</v>
      </c>
      <c r="J64" s="30" t="s">
        <v>92</v>
      </c>
    </row>
    <row r="65" ht="27.75" customHeight="1">
      <c r="A65" s="22">
        <v>63.0</v>
      </c>
      <c r="B65" s="23" t="s">
        <v>208</v>
      </c>
      <c r="C65" s="23" t="s">
        <v>225</v>
      </c>
      <c r="D65" s="23" t="s">
        <v>226</v>
      </c>
      <c r="E65" s="22" t="s">
        <v>39</v>
      </c>
      <c r="F65" s="23" t="s">
        <v>47</v>
      </c>
      <c r="G65" s="22" t="s">
        <v>41</v>
      </c>
      <c r="H65" s="22" t="s">
        <v>55</v>
      </c>
      <c r="I65" s="22" t="s">
        <v>43</v>
      </c>
      <c r="J65" s="24" t="s">
        <v>227</v>
      </c>
    </row>
    <row r="66" ht="27.75" customHeight="1">
      <c r="A66" s="22">
        <v>64.0</v>
      </c>
      <c r="B66" s="23" t="s">
        <v>208</v>
      </c>
      <c r="C66" s="23" t="s">
        <v>225</v>
      </c>
      <c r="D66" s="23" t="s">
        <v>228</v>
      </c>
      <c r="E66" s="22" t="s">
        <v>39</v>
      </c>
      <c r="F66" s="23" t="s">
        <v>40</v>
      </c>
      <c r="G66" s="22" t="s">
        <v>41</v>
      </c>
      <c r="H66" s="22" t="s">
        <v>42</v>
      </c>
      <c r="I66" s="22" t="s">
        <v>43</v>
      </c>
      <c r="J66" s="24" t="s">
        <v>229</v>
      </c>
    </row>
    <row r="67" ht="27.75" customHeight="1">
      <c r="A67" s="22">
        <v>65.0</v>
      </c>
      <c r="B67" s="23" t="s">
        <v>208</v>
      </c>
      <c r="C67" s="23" t="s">
        <v>230</v>
      </c>
      <c r="D67" s="23" t="s">
        <v>231</v>
      </c>
      <c r="E67" s="22" t="s">
        <v>39</v>
      </c>
      <c r="F67" s="23" t="s">
        <v>232</v>
      </c>
      <c r="G67" s="22" t="s">
        <v>41</v>
      </c>
      <c r="H67" s="22" t="s">
        <v>42</v>
      </c>
      <c r="I67" s="22" t="s">
        <v>43</v>
      </c>
      <c r="J67" s="24" t="s">
        <v>233</v>
      </c>
    </row>
    <row r="68" ht="27.75" customHeight="1">
      <c r="A68" s="22">
        <v>66.0</v>
      </c>
      <c r="B68" s="23" t="s">
        <v>208</v>
      </c>
      <c r="C68" s="23" t="s">
        <v>234</v>
      </c>
      <c r="D68" s="23" t="s">
        <v>235</v>
      </c>
      <c r="E68" s="22" t="s">
        <v>39</v>
      </c>
      <c r="F68" s="23" t="s">
        <v>47</v>
      </c>
      <c r="G68" s="22" t="s">
        <v>41</v>
      </c>
      <c r="H68" s="22" t="s">
        <v>42</v>
      </c>
      <c r="I68" s="22" t="s">
        <v>68</v>
      </c>
      <c r="J68" s="24" t="s">
        <v>236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22.14"/>
    <col customWidth="1" min="4" max="4" width="28.0"/>
    <col customWidth="1" min="5" max="5" width="14.0"/>
    <col customWidth="1" min="6" max="6" width="22.14"/>
    <col customWidth="1" min="7" max="7" width="14.0"/>
    <col customWidth="1" min="8" max="9" width="12.0"/>
    <col customWidth="1" min="10" max="10" width="45.14"/>
    <col customWidth="1" min="11" max="26" width="8.71"/>
  </cols>
  <sheetData>
    <row r="1" ht="18.0" customHeight="1">
      <c r="A1" s="34" t="s">
        <v>237</v>
      </c>
      <c r="B1" s="2"/>
      <c r="C1" s="2"/>
      <c r="D1" s="2"/>
      <c r="E1" s="2"/>
      <c r="F1" s="2"/>
      <c r="G1" s="2"/>
      <c r="H1" s="2"/>
      <c r="I1" s="2"/>
      <c r="J1" s="3"/>
    </row>
    <row r="2" ht="31.5" customHeight="1">
      <c r="A2" s="21" t="s">
        <v>26</v>
      </c>
      <c r="B2" s="21" t="s">
        <v>27</v>
      </c>
      <c r="C2" s="21" t="s">
        <v>28</v>
      </c>
      <c r="D2" s="21" t="s">
        <v>29</v>
      </c>
      <c r="E2" s="21" t="s">
        <v>30</v>
      </c>
      <c r="F2" s="21" t="s">
        <v>31</v>
      </c>
      <c r="G2" s="21" t="s">
        <v>32</v>
      </c>
      <c r="H2" s="21" t="s">
        <v>33</v>
      </c>
      <c r="I2" s="21" t="s">
        <v>34</v>
      </c>
      <c r="J2" s="21" t="s">
        <v>35</v>
      </c>
    </row>
    <row r="3" ht="27.75" customHeight="1">
      <c r="A3" s="22">
        <v>1.0</v>
      </c>
      <c r="B3" s="23" t="s">
        <v>238</v>
      </c>
      <c r="C3" s="23" t="s">
        <v>239</v>
      </c>
      <c r="D3" s="23" t="s">
        <v>240</v>
      </c>
      <c r="E3" s="22" t="s">
        <v>39</v>
      </c>
      <c r="F3" s="23" t="s">
        <v>47</v>
      </c>
      <c r="G3" s="22" t="s">
        <v>41</v>
      </c>
      <c r="H3" s="22" t="s">
        <v>42</v>
      </c>
      <c r="I3" s="22" t="s">
        <v>68</v>
      </c>
      <c r="J3" s="24" t="s">
        <v>241</v>
      </c>
    </row>
    <row r="4" ht="27.75" customHeight="1">
      <c r="A4" s="22">
        <v>2.0</v>
      </c>
      <c r="B4" s="23" t="s">
        <v>238</v>
      </c>
      <c r="C4" s="23" t="s">
        <v>239</v>
      </c>
      <c r="D4" s="23" t="s">
        <v>242</v>
      </c>
      <c r="E4" s="22" t="s">
        <v>39</v>
      </c>
      <c r="F4" s="23" t="s">
        <v>40</v>
      </c>
      <c r="G4" s="22" t="s">
        <v>41</v>
      </c>
      <c r="H4" s="22" t="s">
        <v>55</v>
      </c>
      <c r="I4" s="22" t="s">
        <v>43</v>
      </c>
      <c r="J4" s="24" t="s">
        <v>243</v>
      </c>
    </row>
    <row r="5" ht="27.75" customHeight="1">
      <c r="A5" s="22">
        <v>3.0</v>
      </c>
      <c r="B5" s="23" t="s">
        <v>238</v>
      </c>
      <c r="C5" s="23" t="s">
        <v>244</v>
      </c>
      <c r="D5" s="23" t="s">
        <v>245</v>
      </c>
      <c r="E5" s="22" t="s">
        <v>39</v>
      </c>
      <c r="F5" s="23" t="s">
        <v>47</v>
      </c>
      <c r="G5" s="22" t="s">
        <v>41</v>
      </c>
      <c r="H5" s="22" t="s">
        <v>42</v>
      </c>
      <c r="I5" s="22" t="s">
        <v>43</v>
      </c>
      <c r="J5" s="24" t="s">
        <v>246</v>
      </c>
    </row>
    <row r="6" ht="27.75" customHeight="1">
      <c r="A6" s="28">
        <v>4.0</v>
      </c>
      <c r="B6" s="29" t="s">
        <v>238</v>
      </c>
      <c r="C6" s="29" t="s">
        <v>247</v>
      </c>
      <c r="D6" s="29" t="s">
        <v>142</v>
      </c>
      <c r="E6" s="28" t="s">
        <v>125</v>
      </c>
      <c r="F6" s="29" t="s">
        <v>47</v>
      </c>
      <c r="G6" s="28" t="s">
        <v>41</v>
      </c>
      <c r="H6" s="28" t="s">
        <v>248</v>
      </c>
      <c r="I6" s="28" t="s">
        <v>91</v>
      </c>
      <c r="J6" s="30" t="s">
        <v>92</v>
      </c>
    </row>
    <row r="7" ht="27.75" customHeight="1">
      <c r="A7" s="22">
        <v>5.0</v>
      </c>
      <c r="B7" s="23" t="s">
        <v>238</v>
      </c>
      <c r="C7" s="23" t="s">
        <v>247</v>
      </c>
      <c r="D7" s="23" t="s">
        <v>249</v>
      </c>
      <c r="E7" s="22" t="s">
        <v>39</v>
      </c>
      <c r="F7" s="23" t="s">
        <v>40</v>
      </c>
      <c r="G7" s="22" t="s">
        <v>41</v>
      </c>
      <c r="H7" s="22" t="s">
        <v>42</v>
      </c>
      <c r="I7" s="22" t="s">
        <v>43</v>
      </c>
      <c r="J7" s="24" t="s">
        <v>250</v>
      </c>
    </row>
    <row r="8" ht="27.75" customHeight="1">
      <c r="A8" s="22">
        <v>6.0</v>
      </c>
      <c r="B8" s="23" t="s">
        <v>238</v>
      </c>
      <c r="C8" s="23" t="s">
        <v>251</v>
      </c>
      <c r="D8" s="23" t="s">
        <v>252</v>
      </c>
      <c r="E8" s="22" t="s">
        <v>39</v>
      </c>
      <c r="F8" s="23" t="s">
        <v>47</v>
      </c>
      <c r="G8" s="22" t="s">
        <v>41</v>
      </c>
      <c r="H8" s="22" t="s">
        <v>253</v>
      </c>
      <c r="I8" s="22" t="s">
        <v>68</v>
      </c>
      <c r="J8" s="24" t="s">
        <v>254</v>
      </c>
    </row>
    <row r="9" ht="27.75" customHeight="1">
      <c r="A9" s="22">
        <v>7.0</v>
      </c>
      <c r="B9" s="23" t="s">
        <v>238</v>
      </c>
      <c r="C9" s="23" t="s">
        <v>251</v>
      </c>
      <c r="D9" s="23" t="s">
        <v>255</v>
      </c>
      <c r="E9" s="22" t="s">
        <v>39</v>
      </c>
      <c r="F9" s="23" t="s">
        <v>47</v>
      </c>
      <c r="G9" s="22" t="s">
        <v>41</v>
      </c>
      <c r="H9" s="22" t="s">
        <v>256</v>
      </c>
      <c r="I9" s="22" t="s">
        <v>43</v>
      </c>
      <c r="J9" s="24" t="s">
        <v>257</v>
      </c>
    </row>
    <row r="10" ht="27.75" customHeight="1">
      <c r="A10" s="22">
        <v>8.0</v>
      </c>
      <c r="B10" s="23" t="s">
        <v>238</v>
      </c>
      <c r="C10" s="23" t="s">
        <v>251</v>
      </c>
      <c r="D10" s="23" t="s">
        <v>258</v>
      </c>
      <c r="E10" s="22" t="s">
        <v>39</v>
      </c>
      <c r="F10" s="23" t="s">
        <v>259</v>
      </c>
      <c r="G10" s="22" t="s">
        <v>41</v>
      </c>
      <c r="H10" s="22" t="s">
        <v>260</v>
      </c>
      <c r="I10" s="22" t="s">
        <v>43</v>
      </c>
      <c r="J10" s="24" t="s">
        <v>261</v>
      </c>
    </row>
    <row r="11" ht="27.75" customHeight="1">
      <c r="A11" s="22">
        <v>9.0</v>
      </c>
      <c r="B11" s="23" t="s">
        <v>238</v>
      </c>
      <c r="C11" s="23" t="s">
        <v>251</v>
      </c>
      <c r="D11" s="23" t="s">
        <v>262</v>
      </c>
      <c r="E11" s="22" t="s">
        <v>39</v>
      </c>
      <c r="F11" s="23" t="s">
        <v>47</v>
      </c>
      <c r="G11" s="22" t="s">
        <v>41</v>
      </c>
      <c r="H11" s="22" t="s">
        <v>55</v>
      </c>
      <c r="I11" s="22" t="s">
        <v>43</v>
      </c>
      <c r="J11" s="24" t="s">
        <v>263</v>
      </c>
    </row>
    <row r="12" ht="27.75" customHeight="1">
      <c r="A12" s="22">
        <v>10.0</v>
      </c>
      <c r="B12" s="23" t="s">
        <v>238</v>
      </c>
      <c r="C12" s="23" t="s">
        <v>251</v>
      </c>
      <c r="D12" s="23" t="s">
        <v>264</v>
      </c>
      <c r="E12" s="22" t="s">
        <v>39</v>
      </c>
      <c r="F12" s="23" t="s">
        <v>47</v>
      </c>
      <c r="G12" s="22" t="s">
        <v>41</v>
      </c>
      <c r="H12" s="22" t="s">
        <v>265</v>
      </c>
      <c r="I12" s="22" t="s">
        <v>68</v>
      </c>
      <c r="J12" s="24" t="s">
        <v>266</v>
      </c>
    </row>
    <row r="13" ht="27.75" customHeight="1">
      <c r="A13" s="25">
        <v>11.0</v>
      </c>
      <c r="B13" s="26" t="s">
        <v>238</v>
      </c>
      <c r="C13" s="26" t="s">
        <v>251</v>
      </c>
      <c r="D13" s="26" t="s">
        <v>267</v>
      </c>
      <c r="E13" s="25" t="s">
        <v>65</v>
      </c>
      <c r="F13" s="26" t="s">
        <v>268</v>
      </c>
      <c r="G13" s="25" t="s">
        <v>183</v>
      </c>
      <c r="H13" s="25" t="s">
        <v>135</v>
      </c>
      <c r="I13" s="25" t="s">
        <v>68</v>
      </c>
      <c r="J13" s="27" t="s">
        <v>269</v>
      </c>
    </row>
    <row r="14" ht="27.75" customHeight="1">
      <c r="A14" s="22">
        <v>12.0</v>
      </c>
      <c r="B14" s="23" t="s">
        <v>238</v>
      </c>
      <c r="C14" s="23" t="s">
        <v>251</v>
      </c>
      <c r="D14" s="23" t="s">
        <v>270</v>
      </c>
      <c r="E14" s="22" t="s">
        <v>39</v>
      </c>
      <c r="F14" s="23" t="s">
        <v>47</v>
      </c>
      <c r="G14" s="22" t="s">
        <v>41</v>
      </c>
      <c r="H14" s="22" t="s">
        <v>271</v>
      </c>
      <c r="I14" s="22" t="s">
        <v>43</v>
      </c>
      <c r="J14" s="24" t="s">
        <v>272</v>
      </c>
    </row>
    <row r="15" ht="27.75" customHeight="1">
      <c r="A15" s="22">
        <v>13.0</v>
      </c>
      <c r="B15" s="23" t="s">
        <v>238</v>
      </c>
      <c r="C15" s="23" t="s">
        <v>251</v>
      </c>
      <c r="D15" s="23" t="s">
        <v>273</v>
      </c>
      <c r="E15" s="22" t="s">
        <v>39</v>
      </c>
      <c r="F15" s="23" t="s">
        <v>259</v>
      </c>
      <c r="G15" s="22" t="s">
        <v>41</v>
      </c>
      <c r="H15" s="22" t="s">
        <v>135</v>
      </c>
      <c r="I15" s="22" t="s">
        <v>43</v>
      </c>
      <c r="J15" s="24" t="s">
        <v>274</v>
      </c>
    </row>
    <row r="16" ht="27.75" customHeight="1">
      <c r="A16" s="22">
        <v>14.0</v>
      </c>
      <c r="B16" s="23" t="s">
        <v>238</v>
      </c>
      <c r="C16" s="23" t="s">
        <v>251</v>
      </c>
      <c r="D16" s="23" t="s">
        <v>275</v>
      </c>
      <c r="E16" s="22" t="s">
        <v>39</v>
      </c>
      <c r="F16" s="23" t="s">
        <v>259</v>
      </c>
      <c r="G16" s="22" t="s">
        <v>41</v>
      </c>
      <c r="H16" s="22" t="s">
        <v>42</v>
      </c>
      <c r="I16" s="22" t="s">
        <v>43</v>
      </c>
      <c r="J16" s="24" t="s">
        <v>276</v>
      </c>
    </row>
    <row r="17" ht="27.75" customHeight="1">
      <c r="A17" s="22">
        <v>15.0</v>
      </c>
      <c r="B17" s="23" t="s">
        <v>238</v>
      </c>
      <c r="C17" s="23" t="s">
        <v>251</v>
      </c>
      <c r="D17" s="23" t="s">
        <v>277</v>
      </c>
      <c r="E17" s="22" t="s">
        <v>39</v>
      </c>
      <c r="F17" s="23" t="s">
        <v>47</v>
      </c>
      <c r="G17" s="22" t="s">
        <v>41</v>
      </c>
      <c r="H17" s="22" t="s">
        <v>96</v>
      </c>
      <c r="I17" s="22" t="s">
        <v>68</v>
      </c>
      <c r="J17" s="24" t="s">
        <v>278</v>
      </c>
    </row>
    <row r="18" ht="27.75" customHeight="1">
      <c r="A18" s="25">
        <v>16.0</v>
      </c>
      <c r="B18" s="26" t="s">
        <v>238</v>
      </c>
      <c r="C18" s="26" t="s">
        <v>279</v>
      </c>
      <c r="D18" s="26" t="s">
        <v>280</v>
      </c>
      <c r="E18" s="25" t="s">
        <v>65</v>
      </c>
      <c r="F18" s="26" t="s">
        <v>182</v>
      </c>
      <c r="G18" s="25" t="s">
        <v>114</v>
      </c>
      <c r="H18" s="25" t="s">
        <v>281</v>
      </c>
      <c r="I18" s="25" t="s">
        <v>68</v>
      </c>
      <c r="J18" s="27" t="s">
        <v>282</v>
      </c>
    </row>
    <row r="19" ht="27.75" customHeight="1">
      <c r="A19" s="25">
        <v>17.0</v>
      </c>
      <c r="B19" s="26" t="s">
        <v>238</v>
      </c>
      <c r="C19" s="26" t="s">
        <v>251</v>
      </c>
      <c r="D19" s="26" t="s">
        <v>283</v>
      </c>
      <c r="E19" s="25" t="s">
        <v>65</v>
      </c>
      <c r="F19" s="26" t="s">
        <v>284</v>
      </c>
      <c r="G19" s="25" t="s">
        <v>285</v>
      </c>
      <c r="H19" s="25" t="s">
        <v>71</v>
      </c>
      <c r="I19" s="25" t="s">
        <v>68</v>
      </c>
      <c r="J19" s="27" t="s">
        <v>286</v>
      </c>
    </row>
    <row r="20" ht="27.75" customHeight="1">
      <c r="A20" s="22">
        <v>18.0</v>
      </c>
      <c r="B20" s="23" t="s">
        <v>238</v>
      </c>
      <c r="C20" s="23" t="s">
        <v>287</v>
      </c>
      <c r="D20" s="23" t="s">
        <v>288</v>
      </c>
      <c r="E20" s="22" t="s">
        <v>39</v>
      </c>
      <c r="F20" s="23" t="s">
        <v>47</v>
      </c>
      <c r="G20" s="22" t="s">
        <v>41</v>
      </c>
      <c r="H20" s="22" t="s">
        <v>289</v>
      </c>
      <c r="I20" s="22" t="s">
        <v>68</v>
      </c>
      <c r="J20" s="24" t="s">
        <v>290</v>
      </c>
    </row>
    <row r="21" ht="27.75" customHeight="1">
      <c r="A21" s="22">
        <v>19.0</v>
      </c>
      <c r="B21" s="23" t="s">
        <v>238</v>
      </c>
      <c r="C21" s="23" t="s">
        <v>287</v>
      </c>
      <c r="D21" s="23" t="s">
        <v>291</v>
      </c>
      <c r="E21" s="22" t="s">
        <v>39</v>
      </c>
      <c r="F21" s="23" t="s">
        <v>47</v>
      </c>
      <c r="G21" s="22" t="s">
        <v>41</v>
      </c>
      <c r="H21" s="22" t="s">
        <v>292</v>
      </c>
      <c r="I21" s="22" t="s">
        <v>43</v>
      </c>
      <c r="J21" s="24" t="s">
        <v>293</v>
      </c>
    </row>
    <row r="22" ht="27.75" customHeight="1">
      <c r="A22" s="22">
        <v>20.0</v>
      </c>
      <c r="B22" s="23" t="s">
        <v>238</v>
      </c>
      <c r="C22" s="23" t="s">
        <v>287</v>
      </c>
      <c r="D22" s="23" t="s">
        <v>294</v>
      </c>
      <c r="E22" s="22" t="s">
        <v>39</v>
      </c>
      <c r="F22" s="23" t="s">
        <v>259</v>
      </c>
      <c r="G22" s="22" t="s">
        <v>41</v>
      </c>
      <c r="H22" s="22" t="s">
        <v>295</v>
      </c>
      <c r="I22" s="22" t="s">
        <v>43</v>
      </c>
      <c r="J22" s="24" t="s">
        <v>296</v>
      </c>
    </row>
    <row r="23" ht="27.75" customHeight="1">
      <c r="A23" s="22">
        <v>21.0</v>
      </c>
      <c r="B23" s="23" t="s">
        <v>238</v>
      </c>
      <c r="C23" s="23" t="s">
        <v>287</v>
      </c>
      <c r="D23" s="23" t="s">
        <v>297</v>
      </c>
      <c r="E23" s="22" t="s">
        <v>39</v>
      </c>
      <c r="F23" s="23" t="s">
        <v>47</v>
      </c>
      <c r="G23" s="22" t="s">
        <v>41</v>
      </c>
      <c r="H23" s="22" t="s">
        <v>96</v>
      </c>
      <c r="I23" s="22" t="s">
        <v>68</v>
      </c>
      <c r="J23" s="24" t="s">
        <v>298</v>
      </c>
    </row>
    <row r="24" ht="27.75" customHeight="1">
      <c r="A24" s="22">
        <v>22.0</v>
      </c>
      <c r="B24" s="23" t="s">
        <v>238</v>
      </c>
      <c r="C24" s="23" t="s">
        <v>299</v>
      </c>
      <c r="D24" s="23" t="s">
        <v>300</v>
      </c>
      <c r="E24" s="22" t="s">
        <v>39</v>
      </c>
      <c r="F24" s="23" t="s">
        <v>47</v>
      </c>
      <c r="G24" s="22" t="s">
        <v>41</v>
      </c>
      <c r="H24" s="22" t="s">
        <v>96</v>
      </c>
      <c r="I24" s="22" t="s">
        <v>68</v>
      </c>
      <c r="J24" s="24" t="s">
        <v>301</v>
      </c>
    </row>
    <row r="25" ht="27.75" customHeight="1">
      <c r="A25" s="22">
        <v>23.0</v>
      </c>
      <c r="B25" s="23" t="s">
        <v>238</v>
      </c>
      <c r="C25" s="23" t="s">
        <v>299</v>
      </c>
      <c r="D25" s="23" t="s">
        <v>302</v>
      </c>
      <c r="E25" s="22" t="s">
        <v>39</v>
      </c>
      <c r="F25" s="23" t="s">
        <v>47</v>
      </c>
      <c r="G25" s="22" t="s">
        <v>41</v>
      </c>
      <c r="H25" s="22" t="s">
        <v>289</v>
      </c>
      <c r="I25" s="22" t="s">
        <v>68</v>
      </c>
      <c r="J25" s="24" t="s">
        <v>303</v>
      </c>
    </row>
    <row r="26" ht="27.75" customHeight="1">
      <c r="A26" s="22">
        <v>24.0</v>
      </c>
      <c r="B26" s="23" t="s">
        <v>238</v>
      </c>
      <c r="C26" s="23" t="s">
        <v>251</v>
      </c>
      <c r="D26" s="23" t="s">
        <v>304</v>
      </c>
      <c r="E26" s="22" t="s">
        <v>39</v>
      </c>
      <c r="F26" s="23" t="s">
        <v>47</v>
      </c>
      <c r="G26" s="22" t="s">
        <v>41</v>
      </c>
      <c r="H26" s="22" t="s">
        <v>96</v>
      </c>
      <c r="I26" s="22" t="s">
        <v>68</v>
      </c>
      <c r="J26" s="24" t="s">
        <v>305</v>
      </c>
    </row>
    <row r="27" ht="27.75" customHeight="1">
      <c r="A27" s="22">
        <v>25.0</v>
      </c>
      <c r="B27" s="23" t="s">
        <v>238</v>
      </c>
      <c r="C27" s="23" t="s">
        <v>251</v>
      </c>
      <c r="D27" s="23" t="s">
        <v>306</v>
      </c>
      <c r="E27" s="22" t="s">
        <v>39</v>
      </c>
      <c r="F27" s="23" t="s">
        <v>47</v>
      </c>
      <c r="G27" s="22" t="s">
        <v>41</v>
      </c>
      <c r="H27" s="22" t="s">
        <v>307</v>
      </c>
      <c r="I27" s="22" t="s">
        <v>68</v>
      </c>
      <c r="J27" s="24" t="s">
        <v>308</v>
      </c>
    </row>
    <row r="28" ht="27.75" customHeight="1">
      <c r="A28" s="22">
        <v>26.0</v>
      </c>
      <c r="B28" s="23" t="s">
        <v>238</v>
      </c>
      <c r="C28" s="23" t="s">
        <v>299</v>
      </c>
      <c r="D28" s="23" t="s">
        <v>309</v>
      </c>
      <c r="E28" s="22" t="s">
        <v>39</v>
      </c>
      <c r="F28" s="23" t="s">
        <v>47</v>
      </c>
      <c r="G28" s="22" t="s">
        <v>41</v>
      </c>
      <c r="H28" s="22" t="s">
        <v>307</v>
      </c>
      <c r="I28" s="22" t="s">
        <v>68</v>
      </c>
      <c r="J28" s="24" t="s">
        <v>310</v>
      </c>
    </row>
    <row r="29" ht="27.75" customHeight="1">
      <c r="A29" s="22">
        <v>27.0</v>
      </c>
      <c r="B29" s="23" t="s">
        <v>238</v>
      </c>
      <c r="C29" s="23" t="s">
        <v>251</v>
      </c>
      <c r="D29" s="23" t="s">
        <v>311</v>
      </c>
      <c r="E29" s="22" t="s">
        <v>39</v>
      </c>
      <c r="F29" s="23" t="s">
        <v>47</v>
      </c>
      <c r="G29" s="22" t="s">
        <v>41</v>
      </c>
      <c r="H29" s="22" t="s">
        <v>55</v>
      </c>
      <c r="I29" s="22" t="s">
        <v>43</v>
      </c>
      <c r="J29" s="24" t="s">
        <v>312</v>
      </c>
    </row>
    <row r="30" ht="27.75" customHeight="1">
      <c r="A30" s="22">
        <v>28.0</v>
      </c>
      <c r="B30" s="23" t="s">
        <v>238</v>
      </c>
      <c r="C30" s="23" t="s">
        <v>313</v>
      </c>
      <c r="D30" s="23" t="s">
        <v>314</v>
      </c>
      <c r="E30" s="22" t="s">
        <v>39</v>
      </c>
      <c r="F30" s="23" t="s">
        <v>47</v>
      </c>
      <c r="G30" s="22" t="s">
        <v>41</v>
      </c>
      <c r="H30" s="22" t="s">
        <v>265</v>
      </c>
      <c r="I30" s="22" t="s">
        <v>68</v>
      </c>
      <c r="J30" s="24" t="s">
        <v>315</v>
      </c>
    </row>
    <row r="31" ht="27.75" customHeight="1">
      <c r="A31" s="22">
        <v>29.0</v>
      </c>
      <c r="B31" s="23" t="s">
        <v>238</v>
      </c>
      <c r="C31" s="23" t="s">
        <v>251</v>
      </c>
      <c r="D31" s="23" t="s">
        <v>316</v>
      </c>
      <c r="E31" s="22" t="s">
        <v>39</v>
      </c>
      <c r="F31" s="23" t="s">
        <v>259</v>
      </c>
      <c r="G31" s="22" t="s">
        <v>41</v>
      </c>
      <c r="H31" s="22" t="s">
        <v>292</v>
      </c>
      <c r="I31" s="22" t="s">
        <v>43</v>
      </c>
      <c r="J31" s="24" t="s">
        <v>317</v>
      </c>
    </row>
    <row r="32" ht="27.75" customHeight="1">
      <c r="A32" s="22">
        <v>30.0</v>
      </c>
      <c r="B32" s="23" t="s">
        <v>238</v>
      </c>
      <c r="C32" s="23" t="s">
        <v>251</v>
      </c>
      <c r="D32" s="23" t="s">
        <v>318</v>
      </c>
      <c r="E32" s="22" t="s">
        <v>39</v>
      </c>
      <c r="F32" s="23" t="s">
        <v>47</v>
      </c>
      <c r="G32" s="22" t="s">
        <v>41</v>
      </c>
      <c r="H32" s="22" t="s">
        <v>319</v>
      </c>
      <c r="I32" s="22" t="s">
        <v>43</v>
      </c>
      <c r="J32" s="24" t="s">
        <v>320</v>
      </c>
    </row>
    <row r="33" ht="27.75" customHeight="1">
      <c r="A33" s="22">
        <v>31.0</v>
      </c>
      <c r="B33" s="23" t="s">
        <v>238</v>
      </c>
      <c r="C33" s="23" t="s">
        <v>251</v>
      </c>
      <c r="D33" s="23" t="s">
        <v>321</v>
      </c>
      <c r="E33" s="22" t="s">
        <v>39</v>
      </c>
      <c r="F33" s="23" t="s">
        <v>47</v>
      </c>
      <c r="G33" s="22" t="s">
        <v>41</v>
      </c>
      <c r="H33" s="22" t="s">
        <v>42</v>
      </c>
      <c r="I33" s="22" t="s">
        <v>68</v>
      </c>
      <c r="J33" s="24" t="s">
        <v>322</v>
      </c>
    </row>
    <row r="34" ht="27.75" customHeight="1">
      <c r="A34" s="35">
        <v>32.0</v>
      </c>
      <c r="B34" s="36" t="s">
        <v>238</v>
      </c>
      <c r="C34" s="36" t="s">
        <v>323</v>
      </c>
      <c r="D34" s="36" t="s">
        <v>324</v>
      </c>
      <c r="E34" s="22" t="s">
        <v>39</v>
      </c>
      <c r="F34" s="36" t="s">
        <v>47</v>
      </c>
      <c r="G34" s="35" t="s">
        <v>325</v>
      </c>
      <c r="H34" s="35" t="s">
        <v>326</v>
      </c>
      <c r="I34" s="35" t="s">
        <v>327</v>
      </c>
      <c r="J34" s="37" t="s">
        <v>328</v>
      </c>
      <c r="K34" s="38" t="s">
        <v>329</v>
      </c>
    </row>
    <row r="35" ht="27.75" customHeight="1">
      <c r="A35" s="39">
        <v>33.0</v>
      </c>
      <c r="B35" s="40" t="s">
        <v>238</v>
      </c>
      <c r="C35" s="40" t="s">
        <v>251</v>
      </c>
      <c r="D35" s="40" t="s">
        <v>330</v>
      </c>
      <c r="E35" s="39" t="s">
        <v>331</v>
      </c>
      <c r="F35" s="40" t="s">
        <v>332</v>
      </c>
      <c r="G35" s="39" t="s">
        <v>333</v>
      </c>
      <c r="H35" s="41">
        <v>46227.0</v>
      </c>
      <c r="I35" s="39" t="s">
        <v>334</v>
      </c>
      <c r="J35" s="42" t="s">
        <v>335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27.75" customHeight="1">
      <c r="A36" s="35">
        <v>33.0</v>
      </c>
      <c r="B36" s="23" t="s">
        <v>336</v>
      </c>
      <c r="C36" s="23" t="s">
        <v>337</v>
      </c>
      <c r="D36" s="23" t="s">
        <v>338</v>
      </c>
      <c r="E36" s="22" t="s">
        <v>39</v>
      </c>
      <c r="F36" s="23" t="s">
        <v>47</v>
      </c>
      <c r="G36" s="22" t="s">
        <v>41</v>
      </c>
      <c r="H36" s="22" t="s">
        <v>42</v>
      </c>
      <c r="I36" s="22" t="s">
        <v>43</v>
      </c>
      <c r="J36" s="24" t="s">
        <v>339</v>
      </c>
    </row>
    <row r="37" ht="27.75" customHeight="1">
      <c r="A37" s="44">
        <v>34.0</v>
      </c>
      <c r="B37" s="29" t="s">
        <v>336</v>
      </c>
      <c r="C37" s="29" t="s">
        <v>340</v>
      </c>
      <c r="D37" s="29" t="s">
        <v>341</v>
      </c>
      <c r="E37" s="28" t="s">
        <v>125</v>
      </c>
      <c r="F37" s="29" t="s">
        <v>47</v>
      </c>
      <c r="G37" s="28" t="s">
        <v>41</v>
      </c>
      <c r="H37" s="28" t="s">
        <v>342</v>
      </c>
      <c r="I37" s="28" t="s">
        <v>91</v>
      </c>
      <c r="J37" s="30" t="s">
        <v>92</v>
      </c>
    </row>
    <row r="38" ht="27.75" customHeight="1">
      <c r="A38" s="44">
        <v>35.0</v>
      </c>
      <c r="B38" s="29" t="s">
        <v>336</v>
      </c>
      <c r="C38" s="29" t="s">
        <v>343</v>
      </c>
      <c r="D38" s="29" t="s">
        <v>344</v>
      </c>
      <c r="E38" s="28" t="s">
        <v>125</v>
      </c>
      <c r="F38" s="29" t="s">
        <v>40</v>
      </c>
      <c r="G38" s="28" t="s">
        <v>41</v>
      </c>
      <c r="H38" s="28" t="s">
        <v>90</v>
      </c>
      <c r="I38" s="28" t="s">
        <v>91</v>
      </c>
      <c r="J38" s="30" t="s">
        <v>92</v>
      </c>
    </row>
    <row r="39" ht="27.75" customHeight="1">
      <c r="A39" s="35">
        <v>36.0</v>
      </c>
      <c r="B39" s="23" t="s">
        <v>336</v>
      </c>
      <c r="C39" s="23" t="s">
        <v>343</v>
      </c>
      <c r="D39" s="23" t="s">
        <v>345</v>
      </c>
      <c r="E39" s="22" t="s">
        <v>39</v>
      </c>
      <c r="F39" s="23" t="s">
        <v>47</v>
      </c>
      <c r="G39" s="22" t="s">
        <v>41</v>
      </c>
      <c r="H39" s="22" t="s">
        <v>96</v>
      </c>
      <c r="I39" s="22" t="s">
        <v>68</v>
      </c>
      <c r="J39" s="24" t="s">
        <v>346</v>
      </c>
    </row>
    <row r="40" ht="27.75" customHeight="1">
      <c r="A40" s="35">
        <v>37.0</v>
      </c>
      <c r="B40" s="23" t="s">
        <v>336</v>
      </c>
      <c r="C40" s="23" t="s">
        <v>343</v>
      </c>
      <c r="D40" s="23" t="s">
        <v>347</v>
      </c>
      <c r="E40" s="22" t="s">
        <v>39</v>
      </c>
      <c r="F40" s="23" t="s">
        <v>47</v>
      </c>
      <c r="G40" s="22" t="s">
        <v>41</v>
      </c>
      <c r="H40" s="22" t="s">
        <v>42</v>
      </c>
      <c r="I40" s="22" t="s">
        <v>68</v>
      </c>
      <c r="J40" s="24" t="s">
        <v>348</v>
      </c>
    </row>
    <row r="41" ht="27.75" customHeight="1">
      <c r="A41" s="44">
        <v>38.0</v>
      </c>
      <c r="B41" s="29" t="s">
        <v>336</v>
      </c>
      <c r="C41" s="29" t="s">
        <v>343</v>
      </c>
      <c r="D41" s="29" t="s">
        <v>349</v>
      </c>
      <c r="E41" s="28" t="s">
        <v>125</v>
      </c>
      <c r="F41" s="29" t="s">
        <v>47</v>
      </c>
      <c r="G41" s="28" t="s">
        <v>41</v>
      </c>
      <c r="H41" s="28" t="s">
        <v>90</v>
      </c>
      <c r="I41" s="28" t="s">
        <v>91</v>
      </c>
      <c r="J41" s="30" t="s">
        <v>92</v>
      </c>
    </row>
    <row r="42" ht="27.75" customHeight="1">
      <c r="A42" s="35">
        <v>39.0</v>
      </c>
      <c r="B42" s="23" t="s">
        <v>350</v>
      </c>
      <c r="C42" s="23" t="s">
        <v>351</v>
      </c>
      <c r="D42" s="23" t="s">
        <v>352</v>
      </c>
      <c r="E42" s="22" t="s">
        <v>39</v>
      </c>
      <c r="F42" s="23" t="s">
        <v>40</v>
      </c>
      <c r="G42" s="22" t="s">
        <v>41</v>
      </c>
      <c r="H42" s="22" t="s">
        <v>42</v>
      </c>
      <c r="I42" s="22" t="s">
        <v>43</v>
      </c>
      <c r="J42" s="24" t="s">
        <v>353</v>
      </c>
    </row>
    <row r="43" ht="27.75" customHeight="1">
      <c r="A43" s="35">
        <v>40.0</v>
      </c>
      <c r="B43" s="23" t="s">
        <v>354</v>
      </c>
      <c r="C43" s="23" t="s">
        <v>355</v>
      </c>
      <c r="D43" s="23" t="s">
        <v>356</v>
      </c>
      <c r="E43" s="22" t="s">
        <v>39</v>
      </c>
      <c r="F43" s="23" t="s">
        <v>47</v>
      </c>
      <c r="G43" s="22" t="s">
        <v>41</v>
      </c>
      <c r="H43" s="22" t="s">
        <v>42</v>
      </c>
      <c r="I43" s="22" t="s">
        <v>43</v>
      </c>
      <c r="J43" s="24" t="s">
        <v>357</v>
      </c>
    </row>
    <row r="44" ht="27.75" customHeight="1">
      <c r="A44" s="35">
        <v>41.0</v>
      </c>
      <c r="B44" s="23" t="s">
        <v>354</v>
      </c>
      <c r="C44" s="23" t="s">
        <v>355</v>
      </c>
      <c r="D44" s="23" t="s">
        <v>358</v>
      </c>
      <c r="E44" s="22" t="s">
        <v>39</v>
      </c>
      <c r="F44" s="23" t="s">
        <v>105</v>
      </c>
      <c r="G44" s="22" t="s">
        <v>41</v>
      </c>
      <c r="H44" s="22" t="s">
        <v>307</v>
      </c>
      <c r="I44" s="22" t="s">
        <v>43</v>
      </c>
      <c r="J44" s="24" t="s">
        <v>359</v>
      </c>
    </row>
    <row r="45" ht="27.75" customHeight="1">
      <c r="A45" s="44">
        <v>42.0</v>
      </c>
      <c r="B45" s="29" t="s">
        <v>360</v>
      </c>
      <c r="C45" s="29" t="s">
        <v>361</v>
      </c>
      <c r="D45" s="29" t="s">
        <v>142</v>
      </c>
      <c r="E45" s="28" t="s">
        <v>125</v>
      </c>
      <c r="F45" s="29" t="s">
        <v>47</v>
      </c>
      <c r="G45" s="28" t="s">
        <v>41</v>
      </c>
      <c r="H45" s="28" t="s">
        <v>90</v>
      </c>
      <c r="I45" s="28" t="s">
        <v>91</v>
      </c>
      <c r="J45" s="30" t="s">
        <v>92</v>
      </c>
    </row>
    <row r="46" ht="27.75" customHeight="1">
      <c r="A46" s="45">
        <v>43.0</v>
      </c>
      <c r="B46" s="26" t="s">
        <v>360</v>
      </c>
      <c r="C46" s="26" t="s">
        <v>361</v>
      </c>
      <c r="D46" s="26" t="s">
        <v>362</v>
      </c>
      <c r="E46" s="25" t="s">
        <v>65</v>
      </c>
      <c r="F46" s="26" t="s">
        <v>182</v>
      </c>
      <c r="G46" s="25" t="s">
        <v>183</v>
      </c>
      <c r="H46" s="25" t="s">
        <v>135</v>
      </c>
      <c r="I46" s="25" t="s">
        <v>68</v>
      </c>
      <c r="J46" s="27" t="s">
        <v>363</v>
      </c>
    </row>
    <row r="47" ht="27.75" customHeight="1">
      <c r="A47" s="46">
        <v>44.0</v>
      </c>
      <c r="B47" s="32" t="s">
        <v>360</v>
      </c>
      <c r="C47" s="32" t="s">
        <v>364</v>
      </c>
      <c r="D47" s="32" t="s">
        <v>365</v>
      </c>
      <c r="E47" s="31" t="s">
        <v>166</v>
      </c>
      <c r="F47" s="32" t="s">
        <v>177</v>
      </c>
      <c r="G47" s="31" t="s">
        <v>134</v>
      </c>
      <c r="H47" s="31" t="s">
        <v>55</v>
      </c>
      <c r="I47" s="31" t="s">
        <v>43</v>
      </c>
      <c r="J47" s="33" t="s">
        <v>366</v>
      </c>
    </row>
    <row r="48" ht="27.75" customHeight="1">
      <c r="A48" s="35">
        <v>45.0</v>
      </c>
      <c r="B48" s="23" t="s">
        <v>360</v>
      </c>
      <c r="C48" s="23" t="s">
        <v>361</v>
      </c>
      <c r="D48" s="23" t="s">
        <v>367</v>
      </c>
      <c r="E48" s="22" t="s">
        <v>39</v>
      </c>
      <c r="F48" s="23" t="s">
        <v>368</v>
      </c>
      <c r="G48" s="22" t="s">
        <v>41</v>
      </c>
      <c r="H48" s="22" t="s">
        <v>265</v>
      </c>
      <c r="I48" s="22" t="s">
        <v>68</v>
      </c>
      <c r="J48" s="24" t="s">
        <v>369</v>
      </c>
    </row>
    <row r="49" ht="27.75" customHeight="1">
      <c r="A49" s="45">
        <v>46.0</v>
      </c>
      <c r="B49" s="26" t="s">
        <v>360</v>
      </c>
      <c r="C49" s="26" t="s">
        <v>370</v>
      </c>
      <c r="D49" s="26" t="s">
        <v>371</v>
      </c>
      <c r="E49" s="25" t="s">
        <v>65</v>
      </c>
      <c r="F49" s="26" t="s">
        <v>372</v>
      </c>
      <c r="G49" s="25" t="s">
        <v>373</v>
      </c>
      <c r="H49" s="25" t="s">
        <v>42</v>
      </c>
      <c r="I49" s="25" t="s">
        <v>68</v>
      </c>
      <c r="J49" s="27" t="s">
        <v>374</v>
      </c>
    </row>
    <row r="50" ht="27.75" customHeight="1">
      <c r="A50" s="44">
        <v>47.0</v>
      </c>
      <c r="B50" s="29" t="s">
        <v>360</v>
      </c>
      <c r="C50" s="29" t="s">
        <v>375</v>
      </c>
      <c r="D50" s="29" t="s">
        <v>376</v>
      </c>
      <c r="E50" s="28" t="s">
        <v>125</v>
      </c>
      <c r="F50" s="29" t="s">
        <v>40</v>
      </c>
      <c r="G50" s="28" t="s">
        <v>41</v>
      </c>
      <c r="H50" s="28" t="s">
        <v>90</v>
      </c>
      <c r="I50" s="28" t="s">
        <v>91</v>
      </c>
      <c r="J50" s="30" t="s">
        <v>92</v>
      </c>
    </row>
    <row r="51" ht="27.75" customHeight="1">
      <c r="A51" s="35">
        <v>48.0</v>
      </c>
      <c r="B51" s="23" t="s">
        <v>360</v>
      </c>
      <c r="C51" s="23" t="s">
        <v>375</v>
      </c>
      <c r="D51" s="23" t="s">
        <v>377</v>
      </c>
      <c r="E51" s="22" t="s">
        <v>39</v>
      </c>
      <c r="F51" s="23" t="s">
        <v>47</v>
      </c>
      <c r="G51" s="22" t="s">
        <v>41</v>
      </c>
      <c r="H51" s="22" t="s">
        <v>42</v>
      </c>
      <c r="I51" s="22" t="s">
        <v>43</v>
      </c>
      <c r="J51" s="24" t="s">
        <v>378</v>
      </c>
    </row>
    <row r="52" ht="27.75" customHeight="1">
      <c r="A52" s="35">
        <v>49.0</v>
      </c>
      <c r="B52" s="23" t="s">
        <v>360</v>
      </c>
      <c r="C52" s="23" t="s">
        <v>375</v>
      </c>
      <c r="D52" s="23" t="s">
        <v>379</v>
      </c>
      <c r="E52" s="22" t="s">
        <v>39</v>
      </c>
      <c r="F52" s="23" t="s">
        <v>47</v>
      </c>
      <c r="G52" s="22" t="s">
        <v>41</v>
      </c>
      <c r="H52" s="22" t="s">
        <v>42</v>
      </c>
      <c r="I52" s="22" t="s">
        <v>43</v>
      </c>
      <c r="J52" s="24" t="s">
        <v>380</v>
      </c>
    </row>
    <row r="53" ht="27.75" customHeight="1">
      <c r="A53" s="45">
        <v>50.0</v>
      </c>
      <c r="B53" s="26" t="s">
        <v>153</v>
      </c>
      <c r="C53" s="26" t="s">
        <v>381</v>
      </c>
      <c r="D53" s="26" t="s">
        <v>382</v>
      </c>
      <c r="E53" s="25" t="s">
        <v>65</v>
      </c>
      <c r="F53" s="26" t="s">
        <v>113</v>
      </c>
      <c r="G53" s="25" t="s">
        <v>114</v>
      </c>
      <c r="H53" s="25" t="s">
        <v>115</v>
      </c>
      <c r="I53" s="25" t="s">
        <v>68</v>
      </c>
      <c r="J53" s="27" t="s">
        <v>383</v>
      </c>
    </row>
    <row r="54" ht="27.75" customHeight="1">
      <c r="A54" s="35">
        <v>51.0</v>
      </c>
      <c r="B54" s="23" t="s">
        <v>153</v>
      </c>
      <c r="C54" s="23" t="s">
        <v>381</v>
      </c>
      <c r="D54" s="23" t="s">
        <v>384</v>
      </c>
      <c r="E54" s="22" t="s">
        <v>39</v>
      </c>
      <c r="F54" s="23" t="s">
        <v>40</v>
      </c>
      <c r="G54" s="22" t="s">
        <v>41</v>
      </c>
      <c r="H54" s="22" t="s">
        <v>42</v>
      </c>
      <c r="I54" s="22" t="s">
        <v>43</v>
      </c>
      <c r="J54" s="24" t="s">
        <v>385</v>
      </c>
    </row>
    <row r="55" ht="27.75" customHeight="1">
      <c r="A55" s="35">
        <v>52.0</v>
      </c>
      <c r="B55" s="23" t="s">
        <v>153</v>
      </c>
      <c r="C55" s="23" t="s">
        <v>386</v>
      </c>
      <c r="D55" s="23" t="s">
        <v>387</v>
      </c>
      <c r="E55" s="22" t="s">
        <v>39</v>
      </c>
      <c r="F55" s="23" t="s">
        <v>47</v>
      </c>
      <c r="G55" s="22" t="s">
        <v>41</v>
      </c>
      <c r="H55" s="22" t="s">
        <v>42</v>
      </c>
      <c r="I55" s="22" t="s">
        <v>43</v>
      </c>
      <c r="J55" s="24" t="s">
        <v>388</v>
      </c>
    </row>
    <row r="56" ht="27.75" customHeight="1">
      <c r="A56" s="35">
        <v>53.0</v>
      </c>
      <c r="B56" s="23" t="s">
        <v>153</v>
      </c>
      <c r="C56" s="23" t="s">
        <v>381</v>
      </c>
      <c r="D56" s="23" t="s">
        <v>389</v>
      </c>
      <c r="E56" s="22" t="s">
        <v>39</v>
      </c>
      <c r="F56" s="23" t="s">
        <v>47</v>
      </c>
      <c r="G56" s="22" t="s">
        <v>41</v>
      </c>
      <c r="H56" s="22" t="s">
        <v>96</v>
      </c>
      <c r="I56" s="22" t="s">
        <v>68</v>
      </c>
      <c r="J56" s="24" t="s">
        <v>390</v>
      </c>
    </row>
    <row r="57" ht="27.75" customHeight="1">
      <c r="A57" s="44">
        <v>54.0</v>
      </c>
      <c r="B57" s="29" t="s">
        <v>153</v>
      </c>
      <c r="C57" s="29" t="s">
        <v>381</v>
      </c>
      <c r="D57" s="29" t="s">
        <v>142</v>
      </c>
      <c r="E57" s="28" t="s">
        <v>125</v>
      </c>
      <c r="F57" s="29" t="s">
        <v>47</v>
      </c>
      <c r="G57" s="28" t="s">
        <v>41</v>
      </c>
      <c r="H57" s="28" t="s">
        <v>391</v>
      </c>
      <c r="I57" s="28" t="s">
        <v>91</v>
      </c>
      <c r="J57" s="30" t="s">
        <v>92</v>
      </c>
    </row>
    <row r="58" ht="27.75" customHeight="1">
      <c r="A58" s="35">
        <v>55.0</v>
      </c>
      <c r="B58" s="23" t="s">
        <v>153</v>
      </c>
      <c r="C58" s="23" t="s">
        <v>381</v>
      </c>
      <c r="D58" s="23" t="s">
        <v>392</v>
      </c>
      <c r="E58" s="22" t="s">
        <v>39</v>
      </c>
      <c r="F58" s="23" t="s">
        <v>40</v>
      </c>
      <c r="G58" s="22" t="s">
        <v>41</v>
      </c>
      <c r="H58" s="22" t="s">
        <v>42</v>
      </c>
      <c r="I58" s="22" t="s">
        <v>43</v>
      </c>
      <c r="J58" s="24" t="s">
        <v>393</v>
      </c>
    </row>
    <row r="59" ht="27.75" customHeight="1">
      <c r="A59" s="46">
        <v>56.0</v>
      </c>
      <c r="B59" s="32" t="s">
        <v>153</v>
      </c>
      <c r="C59" s="32" t="s">
        <v>394</v>
      </c>
      <c r="D59" s="32" t="s">
        <v>395</v>
      </c>
      <c r="E59" s="31" t="s">
        <v>166</v>
      </c>
      <c r="F59" s="32" t="s">
        <v>167</v>
      </c>
      <c r="G59" s="31" t="s">
        <v>168</v>
      </c>
      <c r="H59" s="31" t="s">
        <v>42</v>
      </c>
      <c r="I59" s="31" t="s">
        <v>43</v>
      </c>
      <c r="J59" s="33" t="s">
        <v>396</v>
      </c>
    </row>
    <row r="60" ht="27.75" customHeight="1">
      <c r="A60" s="35">
        <v>57.0</v>
      </c>
      <c r="B60" s="23" t="s">
        <v>153</v>
      </c>
      <c r="C60" s="23" t="s">
        <v>397</v>
      </c>
      <c r="D60" s="23" t="s">
        <v>398</v>
      </c>
      <c r="E60" s="22" t="s">
        <v>39</v>
      </c>
      <c r="F60" s="23" t="s">
        <v>40</v>
      </c>
      <c r="G60" s="22" t="s">
        <v>41</v>
      </c>
      <c r="H60" s="22" t="s">
        <v>42</v>
      </c>
      <c r="I60" s="22" t="s">
        <v>43</v>
      </c>
      <c r="J60" s="24" t="s">
        <v>399</v>
      </c>
    </row>
    <row r="61" ht="27.75" customHeight="1">
      <c r="A61" s="35">
        <v>58.0</v>
      </c>
      <c r="B61" s="23" t="s">
        <v>400</v>
      </c>
      <c r="C61" s="23" t="s">
        <v>401</v>
      </c>
      <c r="D61" s="23" t="s">
        <v>402</v>
      </c>
      <c r="E61" s="22" t="s">
        <v>39</v>
      </c>
      <c r="F61" s="23" t="s">
        <v>40</v>
      </c>
      <c r="G61" s="22" t="s">
        <v>41</v>
      </c>
      <c r="H61" s="22" t="s">
        <v>42</v>
      </c>
      <c r="I61" s="22" t="s">
        <v>43</v>
      </c>
      <c r="J61" s="24" t="s">
        <v>403</v>
      </c>
    </row>
    <row r="62" ht="27.75" customHeight="1">
      <c r="A62" s="35">
        <v>59.0</v>
      </c>
      <c r="B62" s="23" t="s">
        <v>400</v>
      </c>
      <c r="C62" s="23" t="s">
        <v>404</v>
      </c>
      <c r="D62" s="23" t="s">
        <v>405</v>
      </c>
      <c r="E62" s="22" t="s">
        <v>39</v>
      </c>
      <c r="F62" s="23" t="s">
        <v>47</v>
      </c>
      <c r="G62" s="22" t="s">
        <v>41</v>
      </c>
      <c r="H62" s="22" t="s">
        <v>96</v>
      </c>
      <c r="I62" s="22" t="s">
        <v>68</v>
      </c>
      <c r="J62" s="24" t="s">
        <v>406</v>
      </c>
    </row>
    <row r="63" ht="27.75" customHeight="1">
      <c r="A63" s="35">
        <v>60.0</v>
      </c>
      <c r="B63" s="23" t="s">
        <v>400</v>
      </c>
      <c r="C63" s="23" t="s">
        <v>404</v>
      </c>
      <c r="D63" s="23" t="s">
        <v>407</v>
      </c>
      <c r="E63" s="22" t="s">
        <v>39</v>
      </c>
      <c r="F63" s="23" t="s">
        <v>101</v>
      </c>
      <c r="G63" s="22" t="s">
        <v>41</v>
      </c>
      <c r="H63" s="22" t="s">
        <v>408</v>
      </c>
      <c r="I63" s="22" t="s">
        <v>43</v>
      </c>
      <c r="J63" s="24" t="s">
        <v>409</v>
      </c>
    </row>
    <row r="64" ht="27.75" customHeight="1">
      <c r="A64" s="35">
        <v>61.0</v>
      </c>
      <c r="B64" s="23" t="s">
        <v>400</v>
      </c>
      <c r="C64" s="23" t="s">
        <v>404</v>
      </c>
      <c r="D64" s="23" t="s">
        <v>410</v>
      </c>
      <c r="E64" s="22" t="s">
        <v>39</v>
      </c>
      <c r="F64" s="23" t="s">
        <v>101</v>
      </c>
      <c r="G64" s="22" t="s">
        <v>41</v>
      </c>
      <c r="H64" s="22" t="s">
        <v>411</v>
      </c>
      <c r="I64" s="22" t="s">
        <v>43</v>
      </c>
      <c r="J64" s="24" t="s">
        <v>409</v>
      </c>
    </row>
    <row r="65" ht="27.75" customHeight="1">
      <c r="A65" s="35">
        <v>62.0</v>
      </c>
      <c r="B65" s="23" t="s">
        <v>400</v>
      </c>
      <c r="C65" s="23" t="s">
        <v>404</v>
      </c>
      <c r="D65" s="23" t="s">
        <v>412</v>
      </c>
      <c r="E65" s="22" t="s">
        <v>39</v>
      </c>
      <c r="F65" s="23" t="s">
        <v>47</v>
      </c>
      <c r="G65" s="22" t="s">
        <v>41</v>
      </c>
      <c r="H65" s="22" t="s">
        <v>42</v>
      </c>
      <c r="I65" s="22" t="s">
        <v>43</v>
      </c>
      <c r="J65" s="24" t="s">
        <v>413</v>
      </c>
    </row>
    <row r="66" ht="27.75" customHeight="1">
      <c r="A66" s="35">
        <v>63.0</v>
      </c>
      <c r="B66" s="23" t="s">
        <v>400</v>
      </c>
      <c r="C66" s="23" t="s">
        <v>404</v>
      </c>
      <c r="D66" s="23" t="s">
        <v>414</v>
      </c>
      <c r="E66" s="22" t="s">
        <v>39</v>
      </c>
      <c r="F66" s="23" t="s">
        <v>47</v>
      </c>
      <c r="G66" s="22" t="s">
        <v>41</v>
      </c>
      <c r="H66" s="22" t="s">
        <v>415</v>
      </c>
      <c r="I66" s="22" t="s">
        <v>68</v>
      </c>
      <c r="J66" s="24" t="s">
        <v>416</v>
      </c>
    </row>
    <row r="67" ht="27.75" customHeight="1">
      <c r="A67" s="35">
        <v>64.0</v>
      </c>
      <c r="B67" s="23" t="s">
        <v>400</v>
      </c>
      <c r="C67" s="23" t="s">
        <v>404</v>
      </c>
      <c r="D67" s="23" t="s">
        <v>417</v>
      </c>
      <c r="E67" s="22" t="s">
        <v>39</v>
      </c>
      <c r="F67" s="23" t="s">
        <v>418</v>
      </c>
      <c r="G67" s="22" t="s">
        <v>41</v>
      </c>
      <c r="H67" s="22" t="s">
        <v>135</v>
      </c>
      <c r="I67" s="22" t="s">
        <v>43</v>
      </c>
      <c r="J67" s="24" t="s">
        <v>419</v>
      </c>
    </row>
    <row r="68" ht="27.75" customHeight="1">
      <c r="A68" s="35">
        <v>65.0</v>
      </c>
      <c r="B68" s="23" t="s">
        <v>400</v>
      </c>
      <c r="C68" s="23" t="s">
        <v>404</v>
      </c>
      <c r="D68" s="23" t="s">
        <v>420</v>
      </c>
      <c r="E68" s="22" t="s">
        <v>39</v>
      </c>
      <c r="F68" s="23" t="s">
        <v>47</v>
      </c>
      <c r="G68" s="22" t="s">
        <v>41</v>
      </c>
      <c r="H68" s="22" t="s">
        <v>55</v>
      </c>
      <c r="I68" s="22" t="s">
        <v>43</v>
      </c>
      <c r="J68" s="24" t="s">
        <v>421</v>
      </c>
    </row>
    <row r="69" ht="27.75" customHeight="1">
      <c r="A69" s="35">
        <v>66.0</v>
      </c>
      <c r="B69" s="23" t="s">
        <v>400</v>
      </c>
      <c r="C69" s="23" t="s">
        <v>404</v>
      </c>
      <c r="D69" s="23" t="s">
        <v>422</v>
      </c>
      <c r="E69" s="22" t="s">
        <v>39</v>
      </c>
      <c r="F69" s="23" t="s">
        <v>47</v>
      </c>
      <c r="G69" s="22" t="s">
        <v>41</v>
      </c>
      <c r="H69" s="22" t="s">
        <v>55</v>
      </c>
      <c r="I69" s="22" t="s">
        <v>43</v>
      </c>
      <c r="J69" s="24" t="s">
        <v>423</v>
      </c>
    </row>
    <row r="70" ht="27.75" customHeight="1">
      <c r="A70" s="45">
        <v>67.0</v>
      </c>
      <c r="B70" s="26" t="s">
        <v>400</v>
      </c>
      <c r="C70" s="26" t="s">
        <v>404</v>
      </c>
      <c r="D70" s="26" t="s">
        <v>424</v>
      </c>
      <c r="E70" s="25" t="s">
        <v>65</v>
      </c>
      <c r="F70" s="26" t="s">
        <v>268</v>
      </c>
      <c r="G70" s="25" t="s">
        <v>183</v>
      </c>
      <c r="H70" s="25" t="s">
        <v>135</v>
      </c>
      <c r="I70" s="25" t="s">
        <v>68</v>
      </c>
      <c r="J70" s="27" t="s">
        <v>425</v>
      </c>
    </row>
    <row r="71" ht="27.75" customHeight="1">
      <c r="A71" s="35">
        <v>68.0</v>
      </c>
      <c r="B71" s="23" t="s">
        <v>426</v>
      </c>
      <c r="C71" s="23" t="s">
        <v>426</v>
      </c>
      <c r="D71" s="23" t="s">
        <v>86</v>
      </c>
      <c r="E71" s="22" t="s">
        <v>39</v>
      </c>
      <c r="F71" s="23" t="s">
        <v>232</v>
      </c>
      <c r="G71" s="22" t="s">
        <v>41</v>
      </c>
      <c r="H71" s="22" t="s">
        <v>55</v>
      </c>
      <c r="I71" s="22" t="s">
        <v>43</v>
      </c>
      <c r="J71" s="24" t="s">
        <v>427</v>
      </c>
    </row>
    <row r="72" ht="27.75" customHeight="1">
      <c r="A72" s="45">
        <v>69.0</v>
      </c>
      <c r="B72" s="26" t="s">
        <v>428</v>
      </c>
      <c r="C72" s="26" t="s">
        <v>428</v>
      </c>
      <c r="D72" s="26" t="s">
        <v>429</v>
      </c>
      <c r="E72" s="25" t="s">
        <v>65</v>
      </c>
      <c r="F72" s="26" t="s">
        <v>430</v>
      </c>
      <c r="G72" s="25" t="s">
        <v>431</v>
      </c>
      <c r="H72" s="25" t="s">
        <v>42</v>
      </c>
      <c r="I72" s="25" t="s">
        <v>68</v>
      </c>
      <c r="J72" s="27" t="s">
        <v>432</v>
      </c>
    </row>
    <row r="73" ht="27.75" customHeight="1">
      <c r="A73" s="44">
        <v>70.0</v>
      </c>
      <c r="B73" s="29" t="s">
        <v>428</v>
      </c>
      <c r="C73" s="29" t="s">
        <v>428</v>
      </c>
      <c r="D73" s="29" t="s">
        <v>142</v>
      </c>
      <c r="E73" s="28" t="s">
        <v>125</v>
      </c>
      <c r="F73" s="29" t="s">
        <v>47</v>
      </c>
      <c r="G73" s="28" t="s">
        <v>41</v>
      </c>
      <c r="H73" s="28" t="s">
        <v>90</v>
      </c>
      <c r="I73" s="28" t="s">
        <v>91</v>
      </c>
      <c r="J73" s="30" t="s">
        <v>92</v>
      </c>
    </row>
    <row r="74" ht="27.75" customHeight="1">
      <c r="A74" s="35">
        <v>71.0</v>
      </c>
      <c r="B74" s="23" t="s">
        <v>428</v>
      </c>
      <c r="C74" s="23" t="s">
        <v>433</v>
      </c>
      <c r="D74" s="23" t="s">
        <v>434</v>
      </c>
      <c r="E74" s="22" t="s">
        <v>39</v>
      </c>
      <c r="F74" s="23" t="s">
        <v>40</v>
      </c>
      <c r="G74" s="22" t="s">
        <v>41</v>
      </c>
      <c r="H74" s="22" t="s">
        <v>55</v>
      </c>
      <c r="I74" s="22" t="s">
        <v>43</v>
      </c>
      <c r="J74" s="24" t="s">
        <v>435</v>
      </c>
    </row>
    <row r="75" ht="27.75" customHeight="1">
      <c r="A75" s="35">
        <v>72.0</v>
      </c>
      <c r="B75" s="23" t="s">
        <v>436</v>
      </c>
      <c r="C75" s="23" t="s">
        <v>437</v>
      </c>
      <c r="D75" s="23" t="s">
        <v>438</v>
      </c>
      <c r="E75" s="22" t="s">
        <v>39</v>
      </c>
      <c r="F75" s="23" t="s">
        <v>177</v>
      </c>
      <c r="G75" s="22" t="s">
        <v>134</v>
      </c>
      <c r="H75" s="22" t="s">
        <v>42</v>
      </c>
      <c r="I75" s="22" t="s">
        <v>43</v>
      </c>
      <c r="J75" s="24" t="s">
        <v>439</v>
      </c>
    </row>
    <row r="76" ht="27.75" customHeight="1">
      <c r="A76" s="35">
        <v>73.0</v>
      </c>
      <c r="B76" s="23" t="s">
        <v>436</v>
      </c>
      <c r="C76" s="23" t="s">
        <v>440</v>
      </c>
      <c r="D76" s="23" t="s">
        <v>441</v>
      </c>
      <c r="E76" s="22" t="s">
        <v>39</v>
      </c>
      <c r="F76" s="23" t="s">
        <v>40</v>
      </c>
      <c r="G76" s="22" t="s">
        <v>41</v>
      </c>
      <c r="H76" s="22" t="s">
        <v>55</v>
      </c>
      <c r="I76" s="22" t="s">
        <v>43</v>
      </c>
      <c r="J76" s="24" t="s">
        <v>442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J1"/>
  </mergeCells>
  <hyperlinks>
    <hyperlink r:id="rId1" ref="J34"/>
    <hyperlink r:id="rId2" ref="J35"/>
  </hyperlinks>
  <printOptions/>
  <pageMargins bottom="1.0" footer="0.0" header="0.0" left="0.75" right="0.75" top="1.0"/>
  <pageSetup paperSize="9"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22.14"/>
    <col customWidth="1" min="4" max="4" width="28.0"/>
    <col customWidth="1" min="5" max="5" width="14.0"/>
    <col customWidth="1" min="6" max="6" width="22.14"/>
    <col customWidth="1" min="7" max="7" width="14.0"/>
    <col customWidth="1" min="8" max="9" width="12.0"/>
    <col customWidth="1" min="10" max="10" width="45.14"/>
    <col customWidth="1" min="11" max="26" width="8.71"/>
  </cols>
  <sheetData>
    <row r="1" ht="18.0" customHeight="1">
      <c r="A1" s="47" t="s">
        <v>443</v>
      </c>
      <c r="B1" s="2"/>
      <c r="C1" s="2"/>
      <c r="D1" s="2"/>
      <c r="E1" s="2"/>
      <c r="F1" s="2"/>
      <c r="G1" s="2"/>
      <c r="H1" s="2"/>
      <c r="I1" s="2"/>
      <c r="J1" s="3"/>
    </row>
    <row r="2" ht="31.5" customHeight="1">
      <c r="A2" s="21" t="s">
        <v>26</v>
      </c>
      <c r="B2" s="21" t="s">
        <v>27</v>
      </c>
      <c r="C2" s="21" t="s">
        <v>28</v>
      </c>
      <c r="D2" s="21" t="s">
        <v>29</v>
      </c>
      <c r="E2" s="21" t="s">
        <v>30</v>
      </c>
      <c r="F2" s="21" t="s">
        <v>31</v>
      </c>
      <c r="G2" s="21" t="s">
        <v>32</v>
      </c>
      <c r="H2" s="21" t="s">
        <v>33</v>
      </c>
      <c r="I2" s="21" t="s">
        <v>34</v>
      </c>
      <c r="J2" s="21" t="s">
        <v>35</v>
      </c>
    </row>
    <row r="3" ht="27.75" customHeight="1">
      <c r="A3" s="31">
        <v>1.0</v>
      </c>
      <c r="B3" s="32" t="s">
        <v>444</v>
      </c>
      <c r="C3" s="32" t="s">
        <v>445</v>
      </c>
      <c r="D3" s="32" t="s">
        <v>446</v>
      </c>
      <c r="E3" s="31" t="s">
        <v>166</v>
      </c>
      <c r="F3" s="32" t="s">
        <v>177</v>
      </c>
      <c r="G3" s="31" t="s">
        <v>134</v>
      </c>
      <c r="H3" s="31" t="s">
        <v>42</v>
      </c>
      <c r="I3" s="31" t="s">
        <v>43</v>
      </c>
      <c r="J3" s="33" t="s">
        <v>447</v>
      </c>
    </row>
    <row r="4" ht="27.75" customHeight="1">
      <c r="A4" s="22">
        <v>2.0</v>
      </c>
      <c r="B4" s="23" t="s">
        <v>444</v>
      </c>
      <c r="C4" s="23" t="s">
        <v>445</v>
      </c>
      <c r="D4" s="23" t="s">
        <v>448</v>
      </c>
      <c r="E4" s="22" t="s">
        <v>39</v>
      </c>
      <c r="F4" s="23" t="s">
        <v>40</v>
      </c>
      <c r="G4" s="22" t="s">
        <v>41</v>
      </c>
      <c r="H4" s="22" t="s">
        <v>42</v>
      </c>
      <c r="I4" s="22" t="s">
        <v>43</v>
      </c>
      <c r="J4" s="24" t="s">
        <v>449</v>
      </c>
    </row>
    <row r="5" ht="27.75" customHeight="1">
      <c r="A5" s="22">
        <v>3.0</v>
      </c>
      <c r="B5" s="23" t="s">
        <v>444</v>
      </c>
      <c r="C5" s="23" t="s">
        <v>450</v>
      </c>
      <c r="D5" s="23" t="s">
        <v>451</v>
      </c>
      <c r="E5" s="22" t="s">
        <v>39</v>
      </c>
      <c r="F5" s="23" t="s">
        <v>40</v>
      </c>
      <c r="G5" s="22" t="s">
        <v>41</v>
      </c>
      <c r="H5" s="22" t="s">
        <v>55</v>
      </c>
      <c r="I5" s="22" t="s">
        <v>43</v>
      </c>
      <c r="J5" s="24" t="s">
        <v>452</v>
      </c>
    </row>
    <row r="6" ht="27.75" customHeight="1">
      <c r="A6" s="22">
        <v>4.0</v>
      </c>
      <c r="B6" s="23" t="s">
        <v>444</v>
      </c>
      <c r="C6" s="23" t="s">
        <v>453</v>
      </c>
      <c r="D6" s="23" t="s">
        <v>454</v>
      </c>
      <c r="E6" s="22" t="s">
        <v>39</v>
      </c>
      <c r="F6" s="23" t="s">
        <v>47</v>
      </c>
      <c r="G6" s="22" t="s">
        <v>41</v>
      </c>
      <c r="H6" s="22" t="s">
        <v>42</v>
      </c>
      <c r="I6" s="22" t="s">
        <v>43</v>
      </c>
      <c r="J6" s="24" t="s">
        <v>455</v>
      </c>
    </row>
    <row r="7" ht="27.75" customHeight="1">
      <c r="A7" s="28">
        <v>5.0</v>
      </c>
      <c r="B7" s="29" t="s">
        <v>456</v>
      </c>
      <c r="C7" s="29" t="s">
        <v>457</v>
      </c>
      <c r="D7" s="29" t="s">
        <v>142</v>
      </c>
      <c r="E7" s="28" t="s">
        <v>125</v>
      </c>
      <c r="F7" s="29" t="s">
        <v>47</v>
      </c>
      <c r="G7" s="28" t="s">
        <v>41</v>
      </c>
      <c r="H7" s="28" t="s">
        <v>90</v>
      </c>
      <c r="I7" s="28" t="s">
        <v>91</v>
      </c>
      <c r="J7" s="30" t="s">
        <v>92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2.14"/>
    <col customWidth="1" min="3" max="3" width="30.0"/>
    <col customWidth="1" min="4" max="4" width="14.0"/>
    <col customWidth="1" min="5" max="5" width="16.0"/>
    <col customWidth="1" min="6" max="6" width="12.0"/>
    <col customWidth="1" min="7" max="7" width="18.0"/>
    <col customWidth="1" min="8" max="8" width="45.14"/>
    <col customWidth="1" min="9" max="26" width="8.71"/>
  </cols>
  <sheetData>
    <row r="1" ht="34.5" customHeight="1">
      <c r="A1" s="48" t="s">
        <v>458</v>
      </c>
      <c r="B1" s="2"/>
      <c r="C1" s="2"/>
      <c r="D1" s="2"/>
      <c r="E1" s="2"/>
      <c r="F1" s="2"/>
      <c r="G1" s="2"/>
      <c r="H1" s="3"/>
    </row>
    <row r="2" ht="27.75" customHeight="1">
      <c r="A2" s="49" t="s">
        <v>459</v>
      </c>
      <c r="B2" s="49" t="s">
        <v>460</v>
      </c>
      <c r="C2" s="49" t="s">
        <v>461</v>
      </c>
      <c r="D2" s="49" t="s">
        <v>30</v>
      </c>
      <c r="E2" s="49" t="s">
        <v>32</v>
      </c>
      <c r="F2" s="49" t="s">
        <v>33</v>
      </c>
      <c r="G2" s="49" t="s">
        <v>34</v>
      </c>
      <c r="H2" s="49" t="s">
        <v>35</v>
      </c>
    </row>
    <row r="3" ht="25.5" customHeight="1">
      <c r="A3" s="25">
        <v>0.0</v>
      </c>
      <c r="B3" s="26" t="s">
        <v>462</v>
      </c>
      <c r="C3" s="26" t="s">
        <v>283</v>
      </c>
      <c r="D3" s="25" t="s">
        <v>65</v>
      </c>
      <c r="E3" s="25" t="s">
        <v>463</v>
      </c>
      <c r="F3" s="25" t="s">
        <v>135</v>
      </c>
      <c r="G3" s="25" t="s">
        <v>68</v>
      </c>
      <c r="H3" s="27" t="s">
        <v>286</v>
      </c>
    </row>
    <row r="4" ht="25.5" customHeight="1">
      <c r="A4" s="22">
        <v>15.0</v>
      </c>
      <c r="B4" s="23" t="s">
        <v>299</v>
      </c>
      <c r="C4" s="23" t="s">
        <v>309</v>
      </c>
      <c r="D4" s="22" t="s">
        <v>39</v>
      </c>
      <c r="E4" s="22" t="s">
        <v>41</v>
      </c>
      <c r="F4" s="22" t="s">
        <v>307</v>
      </c>
      <c r="G4" s="22" t="s">
        <v>68</v>
      </c>
      <c r="H4" s="24" t="s">
        <v>310</v>
      </c>
    </row>
    <row r="5" ht="25.5" customHeight="1">
      <c r="A5" s="22">
        <v>35.0</v>
      </c>
      <c r="B5" s="23" t="s">
        <v>78</v>
      </c>
      <c r="C5" s="23" t="s">
        <v>79</v>
      </c>
      <c r="D5" s="22" t="s">
        <v>39</v>
      </c>
      <c r="E5" s="22" t="s">
        <v>41</v>
      </c>
      <c r="F5" s="22" t="s">
        <v>42</v>
      </c>
      <c r="G5" s="22" t="s">
        <v>43</v>
      </c>
      <c r="H5" s="24" t="s">
        <v>80</v>
      </c>
    </row>
    <row r="6" ht="25.5" customHeight="1">
      <c r="A6" s="22">
        <v>75.0</v>
      </c>
      <c r="B6" s="23" t="s">
        <v>355</v>
      </c>
      <c r="C6" s="23" t="s">
        <v>356</v>
      </c>
      <c r="D6" s="22" t="s">
        <v>39</v>
      </c>
      <c r="E6" s="22" t="s">
        <v>41</v>
      </c>
      <c r="F6" s="22" t="s">
        <v>42</v>
      </c>
      <c r="G6" s="22" t="s">
        <v>43</v>
      </c>
      <c r="H6" s="24" t="s">
        <v>357</v>
      </c>
    </row>
    <row r="7" ht="25.5" customHeight="1">
      <c r="A7" s="25">
        <v>115.0</v>
      </c>
      <c r="B7" s="26" t="s">
        <v>464</v>
      </c>
      <c r="C7" s="26" t="s">
        <v>362</v>
      </c>
      <c r="D7" s="25" t="s">
        <v>65</v>
      </c>
      <c r="E7" s="25" t="s">
        <v>465</v>
      </c>
      <c r="F7" s="25" t="s">
        <v>135</v>
      </c>
      <c r="G7" s="25" t="s">
        <v>68</v>
      </c>
      <c r="H7" s="27" t="s">
        <v>363</v>
      </c>
    </row>
    <row r="8" ht="25.5" customHeight="1">
      <c r="A8" s="25">
        <v>135.0</v>
      </c>
      <c r="B8" s="26" t="s">
        <v>370</v>
      </c>
      <c r="C8" s="26" t="s">
        <v>466</v>
      </c>
      <c r="D8" s="25" t="s">
        <v>65</v>
      </c>
      <c r="E8" s="25" t="s">
        <v>467</v>
      </c>
      <c r="F8" s="25" t="s">
        <v>42</v>
      </c>
      <c r="G8" s="25" t="s">
        <v>68</v>
      </c>
      <c r="H8" s="27" t="s">
        <v>374</v>
      </c>
    </row>
    <row r="9" ht="25.5" customHeight="1">
      <c r="A9" s="22">
        <v>165.0</v>
      </c>
      <c r="B9" s="23" t="s">
        <v>397</v>
      </c>
      <c r="C9" s="23" t="s">
        <v>398</v>
      </c>
      <c r="D9" s="22" t="s">
        <v>39</v>
      </c>
      <c r="E9" s="22" t="s">
        <v>41</v>
      </c>
      <c r="F9" s="22" t="s">
        <v>42</v>
      </c>
      <c r="G9" s="22" t="s">
        <v>43</v>
      </c>
      <c r="H9" s="24" t="s">
        <v>399</v>
      </c>
    </row>
    <row r="10" ht="25.5" customHeight="1">
      <c r="A10" s="22">
        <v>195.0</v>
      </c>
      <c r="B10" s="23" t="s">
        <v>154</v>
      </c>
      <c r="C10" s="23" t="s">
        <v>468</v>
      </c>
      <c r="D10" s="22" t="s">
        <v>39</v>
      </c>
      <c r="E10" s="22" t="s">
        <v>41</v>
      </c>
      <c r="F10" s="22" t="s">
        <v>469</v>
      </c>
      <c r="G10" s="22" t="s">
        <v>43</v>
      </c>
      <c r="H10" s="24" t="s">
        <v>157</v>
      </c>
    </row>
    <row r="11" ht="25.5" customHeight="1">
      <c r="A11" s="22">
        <v>240.0</v>
      </c>
      <c r="B11" s="23" t="s">
        <v>470</v>
      </c>
      <c r="C11" s="23" t="s">
        <v>86</v>
      </c>
      <c r="D11" s="22" t="s">
        <v>39</v>
      </c>
      <c r="E11" s="22" t="s">
        <v>41</v>
      </c>
      <c r="F11" s="22" t="s">
        <v>55</v>
      </c>
      <c r="G11" s="22" t="s">
        <v>43</v>
      </c>
      <c r="H11" s="24" t="s">
        <v>87</v>
      </c>
    </row>
    <row r="12" ht="25.5" customHeight="1">
      <c r="A12" s="25">
        <v>270.0</v>
      </c>
      <c r="B12" s="26" t="s">
        <v>63</v>
      </c>
      <c r="C12" s="26" t="s">
        <v>471</v>
      </c>
      <c r="D12" s="25" t="s">
        <v>65</v>
      </c>
      <c r="E12" s="25" t="s">
        <v>463</v>
      </c>
      <c r="F12" s="25" t="s">
        <v>42</v>
      </c>
      <c r="G12" s="25" t="s">
        <v>68</v>
      </c>
      <c r="H12" s="27" t="s">
        <v>69</v>
      </c>
    </row>
    <row r="13" ht="25.5" customHeight="1">
      <c r="A13" s="25">
        <v>420.0</v>
      </c>
      <c r="B13" s="26" t="s">
        <v>472</v>
      </c>
      <c r="C13" s="26" t="s">
        <v>473</v>
      </c>
      <c r="D13" s="25" t="s">
        <v>65</v>
      </c>
      <c r="E13" s="25" t="s">
        <v>474</v>
      </c>
      <c r="F13" s="25" t="s">
        <v>475</v>
      </c>
      <c r="G13" s="25" t="s">
        <v>68</v>
      </c>
      <c r="H13" s="27" t="s">
        <v>111</v>
      </c>
    </row>
    <row r="14" ht="25.5" customHeight="1">
      <c r="A14" s="25">
        <v>430.0</v>
      </c>
      <c r="B14" s="26" t="s">
        <v>476</v>
      </c>
      <c r="C14" s="26" t="s">
        <v>112</v>
      </c>
      <c r="D14" s="25" t="s">
        <v>65</v>
      </c>
      <c r="E14" s="25" t="s">
        <v>463</v>
      </c>
      <c r="F14" s="25" t="s">
        <v>115</v>
      </c>
      <c r="G14" s="25" t="s">
        <v>68</v>
      </c>
      <c r="H14" s="27" t="s">
        <v>116</v>
      </c>
    </row>
    <row r="15" ht="14.25" customHeight="1"/>
    <row r="16" ht="31.5" customHeight="1">
      <c r="A16" s="50" t="s">
        <v>477</v>
      </c>
      <c r="B16" s="16"/>
      <c r="C16" s="16"/>
      <c r="D16" s="16"/>
      <c r="E16" s="16"/>
      <c r="F16" s="16"/>
      <c r="G16" s="16"/>
      <c r="H16" s="1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16:H1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50.0"/>
    <col customWidth="1" min="4" max="26" width="8.71"/>
  </cols>
  <sheetData>
    <row r="1" ht="34.5" customHeight="1">
      <c r="B1" s="51" t="s">
        <v>478</v>
      </c>
      <c r="C1" s="3"/>
    </row>
    <row r="2" ht="27.75" customHeight="1">
      <c r="B2" s="52" t="s">
        <v>479</v>
      </c>
      <c r="C2" s="3"/>
    </row>
    <row r="3" ht="14.25" customHeight="1"/>
    <row r="4" ht="27.75" customHeight="1">
      <c r="B4" s="53" t="s">
        <v>480</v>
      </c>
      <c r="C4" s="54" t="s">
        <v>481</v>
      </c>
    </row>
    <row r="5" ht="27.75" customHeight="1">
      <c r="B5" s="53" t="s">
        <v>482</v>
      </c>
      <c r="C5" s="54" t="s">
        <v>483</v>
      </c>
    </row>
    <row r="6" ht="27.75" customHeight="1">
      <c r="B6" s="53" t="s">
        <v>484</v>
      </c>
      <c r="C6" s="54" t="s">
        <v>485</v>
      </c>
    </row>
    <row r="7" ht="27.75" customHeight="1">
      <c r="B7" s="53" t="s">
        <v>486</v>
      </c>
      <c r="C7" s="54" t="s">
        <v>487</v>
      </c>
    </row>
    <row r="8" ht="27.75" customHeight="1">
      <c r="B8" s="53" t="s">
        <v>488</v>
      </c>
      <c r="C8" s="54" t="s">
        <v>489</v>
      </c>
    </row>
    <row r="9" ht="27.75" customHeight="1">
      <c r="B9" s="53" t="s">
        <v>490</v>
      </c>
      <c r="C9" s="54" t="s">
        <v>491</v>
      </c>
    </row>
    <row r="10" ht="27.75" customHeight="1">
      <c r="B10" s="53" t="s">
        <v>492</v>
      </c>
      <c r="C10" s="54" t="s">
        <v>493</v>
      </c>
    </row>
    <row r="11" ht="27.75" customHeight="1">
      <c r="B11" s="53" t="s">
        <v>494</v>
      </c>
      <c r="C11" s="54" t="s">
        <v>495</v>
      </c>
    </row>
    <row r="12" ht="27.75" customHeight="1">
      <c r="B12" s="53" t="s">
        <v>496</v>
      </c>
      <c r="C12" s="54" t="s">
        <v>497</v>
      </c>
    </row>
    <row r="13" ht="27.75" customHeight="1">
      <c r="B13" s="53" t="s">
        <v>498</v>
      </c>
      <c r="C13" s="54" t="s">
        <v>499</v>
      </c>
    </row>
    <row r="14" ht="27.75" customHeight="1">
      <c r="B14" s="53" t="s">
        <v>500</v>
      </c>
      <c r="C14" s="54" t="s">
        <v>501</v>
      </c>
    </row>
    <row r="15" ht="27.75" customHeight="1">
      <c r="B15" s="53" t="s">
        <v>502</v>
      </c>
      <c r="C15" s="54" t="s">
        <v>503</v>
      </c>
    </row>
    <row r="16" ht="14.25" customHeight="1"/>
    <row r="17" ht="31.5" customHeight="1">
      <c r="B17" s="55" t="s">
        <v>504</v>
      </c>
      <c r="C17" s="1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B2:C2"/>
    <mergeCell ref="B17:C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2026-05-03T14:33:28Z</dcterms:created>
  <dc:creator>openpyxl</dc:creator>
</cp:coreProperties>
</file>